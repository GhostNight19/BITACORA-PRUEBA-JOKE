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defaultThemeVersion="124226"/>
  <xr:revisionPtr revIDLastSave="0" documentId="13_ncr:1_{887B77DC-E444-4EF8-85E3-FAD9470503A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Print_Area" localSheetId="0">Hoja1!$A$1:$M$77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" i="1" l="1"/>
  <c r="A24" i="1" a="1"/>
  <c r="A24" i="1" l="1"/>
  <c r="A25" i="1" a="1"/>
  <c r="A25" i="1" l="1"/>
  <c r="A26" i="1" a="1"/>
  <c r="A26" i="1" l="1"/>
  <c r="A27" i="1" a="1"/>
  <c r="A27" i="1" l="1"/>
  <c r="A28" i="1" a="1"/>
  <c r="A28" i="1" l="1"/>
  <c r="A29" i="1" a="1"/>
  <c r="A29" i="1" l="1"/>
  <c r="A30" i="1" a="1"/>
  <c r="A30" i="1" l="1"/>
  <c r="A31" i="1" a="1"/>
  <c r="A31" i="1" l="1"/>
  <c r="A32" i="1" a="1"/>
  <c r="A32" i="1" l="1"/>
  <c r="A33" i="1" a="1"/>
  <c r="A33" i="1" l="1"/>
  <c r="A34" i="1" a="1"/>
  <c r="A34" i="1" l="1"/>
  <c r="A35" i="1" a="1"/>
  <c r="A35" i="1" l="1"/>
  <c r="A36" i="1" a="1"/>
  <c r="A36" i="1" l="1"/>
  <c r="A37" i="1" a="1"/>
  <c r="A37" i="1" l="1"/>
  <c r="A38" i="1" a="1"/>
  <c r="A38" i="1" l="1"/>
  <c r="A39" i="1" a="1"/>
  <c r="A39" i="1" l="1"/>
  <c r="A40" i="1" a="1"/>
  <c r="A40" i="1" l="1"/>
  <c r="A41" i="1" a="1"/>
  <c r="A41" i="1" l="1"/>
  <c r="A42" i="1" a="1"/>
  <c r="A42" i="1" l="1"/>
  <c r="A43" i="1" a="1"/>
  <c r="A43" i="1" l="1"/>
  <c r="A44" i="1" a="1"/>
  <c r="A44" i="1" l="1"/>
  <c r="A48" i="1" a="1"/>
  <c r="A48" i="1" l="1"/>
  <c r="A49" i="1" a="1"/>
  <c r="A49" i="1" l="1"/>
  <c r="A50" i="1" a="1"/>
  <c r="A50" i="1" l="1"/>
  <c r="A51" i="1" a="1"/>
  <c r="A51" i="1" l="1"/>
  <c r="A52" i="1" a="1"/>
  <c r="A52" i="1" l="1"/>
  <c r="A53" i="1" a="1"/>
  <c r="A53" i="1" l="1"/>
  <c r="A54" i="1" a="1"/>
  <c r="A54" i="1" l="1"/>
  <c r="A55" i="1" a="1"/>
  <c r="A55" i="1" l="1"/>
  <c r="A56" i="1" a="1"/>
  <c r="A56" i="1" l="1"/>
  <c r="A57" i="1" a="1"/>
  <c r="A57" i="1" l="1"/>
  <c r="A58" i="1" a="1"/>
  <c r="A58" i="1" l="1"/>
  <c r="A59" i="1" a="1"/>
  <c r="A59" i="1" l="1"/>
  <c r="A60" i="1" a="1"/>
  <c r="A60" i="1" l="1"/>
  <c r="A61" i="1" a="1"/>
  <c r="A61" i="1" l="1"/>
  <c r="A62" i="1" a="1"/>
  <c r="A62" i="1" l="1"/>
  <c r="A63" i="1" a="1"/>
  <c r="A63" i="1" l="1"/>
  <c r="A64" i="1" a="1"/>
  <c r="A6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<sst xmlns="http://schemas.openxmlformats.org/spreadsheetml/2006/main" count="388" uniqueCount="184">
  <si>
    <t>BLOCK</t>
  </si>
  <si>
    <t>DESDE</t>
  </si>
  <si>
    <t>HASTA</t>
  </si>
  <si>
    <t>HORA</t>
  </si>
  <si>
    <t xml:space="preserve">FECHA </t>
  </si>
  <si>
    <t>N°</t>
  </si>
  <si>
    <t>KM</t>
  </si>
  <si>
    <t>DESCRIPCIÓN TRABAJOS</t>
  </si>
  <si>
    <t>INICIO</t>
  </si>
  <si>
    <t>NOTIFICACION DE FAENAS EN EL INICIO DEL RECORRIDO</t>
  </si>
  <si>
    <t>EMPRESA</t>
  </si>
  <si>
    <t>VIA</t>
  </si>
  <si>
    <t>TIPO CORTADA</t>
  </si>
  <si>
    <t>MESA CTC 1</t>
  </si>
  <si>
    <t>HUALQUI - CONCEPCIÓN - TALCAHUANO</t>
  </si>
  <si>
    <t xml:space="preserve">COORDINADO POR </t>
  </si>
  <si>
    <t>DESCRIPCIÓN TRABAJOS / EPF / CORTADOR ELECTRICO</t>
  </si>
  <si>
    <t>TÉRMINO</t>
  </si>
  <si>
    <t>VELOCIDAD Y/O RESTRICCIÓN</t>
  </si>
  <si>
    <t>RÉGIMEN A UTILIZAR</t>
  </si>
  <si>
    <t>Autorizado por I.T.</t>
  </si>
  <si>
    <t>Folio</t>
  </si>
  <si>
    <t>Emitido</t>
  </si>
  <si>
    <t>OIS BOLETÍN DE VIA C (SECTOR BUENURAQUI-HUALQUI)</t>
  </si>
  <si>
    <t>PROGRAMACIÓN DE CORTADAS</t>
  </si>
  <si>
    <t>MESA SSE REMOTO</t>
  </si>
  <si>
    <t>SD-15 / BUENURAQUI - QUILACOYA</t>
  </si>
  <si>
    <t>controlador.sser@efesur.cl</t>
  </si>
  <si>
    <t>MESA CFLEX 4</t>
  </si>
  <si>
    <t>INSPECTOR DE TURNO CONCEPCIÓN</t>
  </si>
  <si>
    <t>DESPACHO ELÉCTRICO CONCEPCIÓN</t>
  </si>
  <si>
    <t>SR-TH / CC-CW</t>
  </si>
  <si>
    <t>ct.con@efesur.cl</t>
  </si>
  <si>
    <t>despacho.electrico@efesur.cl</t>
  </si>
  <si>
    <t>41 216 6762</t>
  </si>
  <si>
    <t>41 216 6760 / 9 9848 1086</t>
  </si>
  <si>
    <t>MESA CFLEX 3 / AUV</t>
  </si>
  <si>
    <t>41 216 6764</t>
  </si>
  <si>
    <t>MESA AUV 2 / CFLEX 2</t>
  </si>
  <si>
    <t>41 216 6765</t>
  </si>
  <si>
    <t>SD 18 / 19 / 21 / 22 / 32 / 37 / 38 / 40 / RQ-NA</t>
  </si>
  <si>
    <t>LAJA - TEMUCO / SD-16</t>
  </si>
  <si>
    <t>41 216 6767 / 41 216 6768 / 9 4271 8148</t>
  </si>
  <si>
    <t>41 216 6766 / 41 216 6770</t>
  </si>
  <si>
    <t>41 216 6763</t>
  </si>
  <si>
    <t>operador.concepcion@efesur.cl</t>
  </si>
  <si>
    <r>
      <rPr>
        <b/>
        <sz val="18"/>
        <color rgb="FF000000"/>
        <rFont val="Calibri"/>
        <family val="2"/>
      </rPr>
      <t xml:space="preserve">FRECUENCIA RADIAL DE COMUNICACIÓN BU - HQ: </t>
    </r>
    <r>
      <rPr>
        <b/>
        <sz val="24"/>
        <color rgb="FF000000"/>
        <rFont val="Calibri"/>
        <family val="2"/>
      </rPr>
      <t>"2 LJ-HQ"</t>
    </r>
  </si>
  <si>
    <t>VELOCIDADES MÁXIMAS EN EL SECTOR</t>
  </si>
  <si>
    <r>
      <t xml:space="preserve">1. </t>
    </r>
    <r>
      <rPr>
        <b/>
        <u/>
        <sz val="12"/>
        <color rgb="FF000000"/>
        <rFont val="Calibri"/>
        <family val="2"/>
      </rPr>
      <t>TRENES DE PASAJEROS</t>
    </r>
    <r>
      <rPr>
        <b/>
        <sz val="12"/>
        <color indexed="8"/>
        <rFont val="Calibri"/>
        <family val="2"/>
      </rPr>
      <t>:</t>
    </r>
  </si>
  <si>
    <r>
      <t xml:space="preserve">2. </t>
    </r>
    <r>
      <rPr>
        <b/>
        <u/>
        <sz val="12"/>
        <color rgb="FF000000"/>
        <rFont val="Calibri"/>
        <family val="2"/>
      </rPr>
      <t>TRENES DE CARGA</t>
    </r>
    <r>
      <rPr>
        <b/>
        <sz val="12"/>
        <color indexed="8"/>
        <rFont val="Calibri"/>
        <family val="2"/>
      </rPr>
      <t xml:space="preserve">: </t>
    </r>
    <r>
      <rPr>
        <b/>
        <sz val="16"/>
        <color rgb="FF000000"/>
        <rFont val="Calibri"/>
        <family val="2"/>
      </rPr>
      <t>40 km/h</t>
    </r>
    <r>
      <rPr>
        <b/>
        <sz val="12"/>
        <color indexed="8"/>
        <rFont val="Calibri"/>
        <family val="2"/>
      </rPr>
      <t xml:space="preserve"> EN TODO EL SECTOR BUENURAQUI-HUALQUI.</t>
    </r>
  </si>
  <si>
    <t>VELOCIDADES DE PASO POR CRUCES</t>
  </si>
  <si>
    <r>
      <rPr>
        <b/>
        <u/>
        <sz val="16"/>
        <rFont val="Calibri"/>
        <family val="2"/>
      </rPr>
      <t>NOTA A PERSONAL DE TRENES DE CARGA Y PASAJEROS</t>
    </r>
    <r>
      <rPr>
        <b/>
        <sz val="16"/>
        <rFont val="Calibri"/>
        <family val="2"/>
      </rPr>
      <t xml:space="preserve">: CUANDO LOS SISTEMAS DE PROTECCIÓN AUTOMATIZADOS DE PASOS A NIVEL, YA SEA EN CRUCES ENCLAVADOS, PLENA VÍA Y/O AFECTADOS, PRESENTEN ALGÚN TIPO DE FALLA Y/O AVERÍA QUE IMPOSIBILITE CUMPLIR LAS EXIGENCIAS MÍNIMAS DE SEGURIDAD, LA VELOCIDAD DE CIRCULACIÓN NO DEBE SER SUPERIOR A </t>
    </r>
    <r>
      <rPr>
        <b/>
        <sz val="18"/>
        <color rgb="FFC00000"/>
        <rFont val="Calibri"/>
        <family val="2"/>
      </rPr>
      <t>15 km/h</t>
    </r>
    <r>
      <rPr>
        <b/>
        <sz val="16"/>
        <rFont val="Calibri"/>
        <family val="2"/>
      </rPr>
      <t xml:space="preserve"> PARA TODO TIPO DE TREN Y EQUIPOS MENORES.</t>
    </r>
  </si>
  <si>
    <r>
      <rPr>
        <b/>
        <u/>
        <sz val="16"/>
        <color theme="0"/>
        <rFont val="Calibri"/>
        <family val="2"/>
      </rPr>
      <t>SAN ROSENDO-QUILACOYA:</t>
    </r>
    <r>
      <rPr>
        <b/>
        <sz val="16"/>
        <color theme="0"/>
        <rFont val="Calibri"/>
        <family val="2"/>
      </rPr>
      <t xml:space="preserve"> EQUIPOS SFE (EMU) NO PUEDEN INGRESAR A LÍNEAS LOCALES, NI AUN EN CASO DE EMERGENCIA, SALVO AUTORIZACIÓN DE JEFE DE TRÁFICO.</t>
    </r>
  </si>
  <si>
    <t>BUENURAQUI</t>
  </si>
  <si>
    <t>TODAS</t>
  </si>
  <si>
    <t>8 P. 4</t>
  </si>
  <si>
    <t>9 P. 7</t>
  </si>
  <si>
    <t>30 km/h Y TOQUE PITO</t>
  </si>
  <si>
    <t>REPARACION FOA SAN ROSENDO - HUALQUI / FELIPE BARRA (P-5.1) / 977929353</t>
  </si>
  <si>
    <t>GLOBE ICF SA (RICARDO YAÑEZ)</t>
  </si>
  <si>
    <t>GOMERO</t>
  </si>
  <si>
    <t>9 P. 15</t>
  </si>
  <si>
    <t>12 P. 3</t>
  </si>
  <si>
    <t>PASAJEROS 30 km/h,          CARGA 20 km/h</t>
  </si>
  <si>
    <t>CONDICIÓN DE LA VÍA, TROCHA, DURMIENTES EN MAL ESTADO, DESGASTE DE RODÓN.</t>
  </si>
  <si>
    <t/>
  </si>
  <si>
    <t>EFE</t>
  </si>
  <si>
    <t>PRINCIPAL</t>
  </si>
  <si>
    <t>11 P. 1</t>
  </si>
  <si>
    <t>11 P. 10</t>
  </si>
  <si>
    <t>MARCHA DE EMERGENCIA</t>
  </si>
  <si>
    <t>POR RIESGO DE CAÍDA DE ROCAS, MALLAS DE PROTECCIÓN ROTAS</t>
  </si>
  <si>
    <t>EFE (ROBERTO DEMETRIO)</t>
  </si>
  <si>
    <t>13 P. 4</t>
  </si>
  <si>
    <t>15 P. 16</t>
  </si>
  <si>
    <t>DESVÍO 2 Y MARDOÑAL</t>
  </si>
  <si>
    <t>14 P. 16</t>
  </si>
  <si>
    <t>FUERA DE SERVICIO</t>
  </si>
  <si>
    <t xml:space="preserve">PATIO COLGANTE </t>
  </si>
  <si>
    <t>EFE (ROBERTO EGLI)</t>
  </si>
  <si>
    <t>LOCAL</t>
  </si>
  <si>
    <t>14 P. 23</t>
  </si>
  <si>
    <t>16 P. 10</t>
  </si>
  <si>
    <t>BAJADA DE PANTÓGRAFO</t>
  </si>
  <si>
    <t>DEC#272 NOTIFIQUE A MAQUINISTA DE TRENES ELÉCTRICOS DEBE BAJAR PANTÓGRAFO AL INGRESO Y SALIDA DE VÍA LOCAL EN PE GOMERO</t>
  </si>
  <si>
    <t>DEC</t>
  </si>
  <si>
    <t>DESVÍO 1</t>
  </si>
  <si>
    <t>15 P. 12</t>
  </si>
  <si>
    <t>15 P. 19</t>
  </si>
  <si>
    <t>DESVÍO 1 DE GOMERO OPERATIVO ENTRE POSTE 15/12 Y 15/19 PARA DEJAR TRENES Y MÓVILES DE MANTENIMIENTO "TREN RIELERO"</t>
  </si>
  <si>
    <t>TALCAMÁVIDA</t>
  </si>
  <si>
    <t>17 P. 4</t>
  </si>
  <si>
    <t>21 P. 29</t>
  </si>
  <si>
    <t>30 km/h</t>
  </si>
  <si>
    <t>PREVENCIÓN SOLO PARA TRENES ELÉCTRICOS POR CATENARIA EN CONSTRUCCIÓN</t>
  </si>
  <si>
    <t>EFE (FERNANDO ROJAS)</t>
  </si>
  <si>
    <t>18 P. 14</t>
  </si>
  <si>
    <t>18 P. 28</t>
  </si>
  <si>
    <t>22 P. 7</t>
  </si>
  <si>
    <t>23 P. 11</t>
  </si>
  <si>
    <t>DEC#1207  DEL DÍA 08 DE MAYO 2023 NOTIFIQUE A MAQUINISTAS MAQUINAS ELÉCTRICAS DEBEN BAJAR PANTÓGRAFO COMO ENTRADA Y SALIDA VÍA LOCAL EN PATIO ELÉCTRICO TALCAMAVIDA KM 23 A 23/7</t>
  </si>
  <si>
    <t>UNIHUE</t>
  </si>
  <si>
    <t>23 P. 1</t>
  </si>
  <si>
    <t>25 P. 1</t>
  </si>
  <si>
    <t>30 KM / HORA Y TOQUE PITO</t>
  </si>
  <si>
    <t>LIMPIEZA DE DRENAJES LONGITUDINALES / ADAN CONTRERAS (P-5.1) / 9 90648707</t>
  </si>
  <si>
    <t>CTA (IGNACIO RETAMAL)</t>
  </si>
  <si>
    <t>23 P. 9</t>
  </si>
  <si>
    <t>23 P. 26</t>
  </si>
  <si>
    <t>PASAJEROS 20 km/h,          CARGA 10 km/h</t>
  </si>
  <si>
    <t>CONDICIÓN DE LA VÍA, DURMIENTES EN MAL ESTADO</t>
  </si>
  <si>
    <t>23 P. 18</t>
  </si>
  <si>
    <t>23 P. 31</t>
  </si>
  <si>
    <t>PASAJEROS 30 km/h CARGA 20 km/h</t>
  </si>
  <si>
    <t>CONDICIÓN DE VÍA EN SECTOR SOCAVÓN.</t>
  </si>
  <si>
    <t>28 P. 12</t>
  </si>
  <si>
    <t>30 P. 6</t>
  </si>
  <si>
    <t>DEC#11 NOTIFIQUE A MAQUINISTA DE TRENES ELÉCTRICOS DEBE BAJAR PANTÓGRAFO AL INGRESO Y SALIDA DE VÍA LOCAL EN PATIO ELÉCTRICO UNIHUE</t>
  </si>
  <si>
    <t>QUILACOYA</t>
  </si>
  <si>
    <t>30 P. 1</t>
  </si>
  <si>
    <t>34 P. 1</t>
  </si>
  <si>
    <t>36 P. 5</t>
  </si>
  <si>
    <t>37 P. 2</t>
  </si>
  <si>
    <t>SIN TRÁFICO ELÉCTRICO</t>
  </si>
  <si>
    <t>INDEFINIDAS</t>
  </si>
  <si>
    <t>DESVÍO 2</t>
  </si>
  <si>
    <t>36 P. 11</t>
  </si>
  <si>
    <t>37 P. 1</t>
  </si>
  <si>
    <t>DURMIENTES EN MAL ESTADO</t>
  </si>
  <si>
    <t>EFE SUR</t>
  </si>
  <si>
    <t>HUALQUI</t>
  </si>
  <si>
    <t>39 P. 9</t>
  </si>
  <si>
    <t>39 P. 20</t>
  </si>
  <si>
    <t>CONDICIÓN DE LA VÍA, TROCHA, Y DURMIENTES EN MAL ESTADO.</t>
  </si>
  <si>
    <t>40 P. 1</t>
  </si>
  <si>
    <t>40 P. 7</t>
  </si>
  <si>
    <t>43 P. 4</t>
  </si>
  <si>
    <t>43 P. 9</t>
  </si>
  <si>
    <t>PASAJEROS 30 km/h, CARGA 20 km/h</t>
  </si>
  <si>
    <t>CONDICIÓN DE LA VÍA, TROCHA. HALLAZGO MRV.</t>
  </si>
  <si>
    <t>SEÑALES Y LÍNEA DE CONTACTO</t>
  </si>
  <si>
    <t>501 P. 15</t>
  </si>
  <si>
    <t>35 P. 16</t>
  </si>
  <si>
    <t>OCUPACIÓN ORDINARIA DE VÍA</t>
  </si>
  <si>
    <t>RENOVACIÓN CATENARIA / SE SOLICITA DESCONEXIÓN DE 3KV Y 2,3 KV DESDE SUB-ESTACIÓN LAJA HASTA SUB-ESTACIÓN QUILACOYA   / ALEX MUÑOS (P-6) / 9 42495453</t>
  </si>
  <si>
    <t>CONSORCIO (ARTURO FLORES)</t>
  </si>
  <si>
    <t>PRINCIPAL Y LOCAL</t>
  </si>
  <si>
    <t>7 P. 14</t>
  </si>
  <si>
    <t>14 P. 18</t>
  </si>
  <si>
    <t>RENOVACIÓN CATENARIA / LUIS SANHUEZA (P-5.1) / 9 97870556</t>
  </si>
  <si>
    <t>8 P. 1</t>
  </si>
  <si>
    <t>INSPECCIÓN VIA A PIE POR ULTRASONIDO DE RIELES / RENÉ ACUÑA (P-5.1) / 996413531</t>
  </si>
  <si>
    <t>CESMEC (EDGARD PERQUILAF)</t>
  </si>
  <si>
    <t>15 P. 1</t>
  </si>
  <si>
    <t>21 P. 32</t>
  </si>
  <si>
    <t>30 P. 10</t>
  </si>
  <si>
    <t>LIMPIEZA DE DRENAJES LONGITUDINALES CON APOYO DE MAQUINARIA / ADAN CONTRERAS (P-5.1) / 9 90648707 / VENTANA DE TRABAJO BAJO COORDINACIÓN CON CONTROLADOR DE TRÁFICO.</t>
  </si>
  <si>
    <t>CTA  (IGNACIO RETAMAL)</t>
  </si>
  <si>
    <t>36 P. 3</t>
  </si>
  <si>
    <t>RENOVACIÓN CATENARIA / KEIVER OSORIO (P-5.1) / 9 53090634</t>
  </si>
  <si>
    <t>35 P. 17</t>
  </si>
  <si>
    <t>46 P. 11</t>
  </si>
  <si>
    <t>RENOVACIÓN CATENARIA / SE SOLICITA DESCONEXIÓN DE 3KV DESDE SUB-ESTACIÓN QUILACOYA INCLUYENDO ESTACIÓN DE QUILACOYA HASTA ESTACIÓN HUALQUI CON ABERTURA DE CUERNO N° 5 Y 2.3 KV DESDE SUB-ESTACIÓN QUILACOYA HASTA PK 59/20 / JEAN FRANCO ARRIAGADA (P-6) / 967149202</t>
  </si>
  <si>
    <t>CORRECTIVO FIBRA OPTICA AEREA SAN ROSENDO - HUALQUI REPARACIONES DE MUFAS, SOPORTES, FIBRA CAIDA / SE SOLICITA DESCONEXION DE 3KV DESDE S/E QUILACOYA  HASTA ESTACION HUALQUI CON ABERTURA DE CUERNO N°5 + 2,3 KV DESDE S/E QUILACOYA HASTA PK 59/20 / JUAN CARRASCO (P-6), FELIPE BARRA (P-5.1) / 985558234, 977929353</t>
  </si>
  <si>
    <t>GLOBE ICF (RICARDO YAÑEZ)</t>
  </si>
  <si>
    <t>RENOVACIÓN CATENARIA / GUSTAVO FLORES (P-5.1) / 9 88473371</t>
  </si>
  <si>
    <t>CONCEPCIÓN</t>
  </si>
  <si>
    <t>37 P. 13</t>
  </si>
  <si>
    <t>68 P. 35</t>
  </si>
  <si>
    <t>APOYO VÍAS  / SE SOLICITAN LOS 3000V DESDE AMBAS PLENAS VÍAS CONCEPCIÓN - CHIGUAYANTE HASTA LA PLENA VÍA HUALQUI - QUILACOYA Y 2300V DESDE KM 59/20 AL 46/3 (2,3KV SE SOLICITARÁN SOLO DE SER NECESARIOS O SE SECCIONARÁ EN KM 53/11) / JUAN C. MOLINA (P-6), JUAN LARA (P-6) / 977945466, 944031115</t>
  </si>
  <si>
    <t>EFE (FERNANDO ROJAS JIMÉNEZ)</t>
  </si>
  <si>
    <t>CORONEL</t>
  </si>
  <si>
    <t>37 P. 14</t>
  </si>
  <si>
    <t>27 P. 49</t>
  </si>
  <si>
    <t>ACTIVIDADES DE PROYECTO AUMENTO DE CAPACIDAD DEL BIOTREN: INSTALACIÓN DE SOPORTES PARA ALIMENTADOR DE REFUERZO Y TENDIDO DE CABLE DE ALUMINIO, ADEMÁS DE CAMBIO DE REGISTRO A MÉNSULAS, TENDIDO DE SEGUNDO HILO DE CONTACTO, PENDOLADO, INSTALACIÓN DE SENSORES Y GATEWAY, CONEXIONES DE ALIMENTADOR A PORTALES 3KV, E INSTALACIÓN DE CONEXIONES DE ALIMENTACIÓN A CATENARIA DE ALIMENTADOR DE REFUERZO. INSTALACIÓN DE POSTES EN ESTACIÓN CCP.  / SE SOLICITA DESCONEXIÓN DE 3000VCC PV QUILACOYA - CC CONSIDERANDO PATIO HASTA CORONEL Y 2300VCA DESDE CC HASTA LOMAS COLORADAS  Y 12000VCA DESDE SER CONCEPCIÓN A PUENTE BIO BIO // ACTIVIDADES DE PROYECTO REEMPLAZO DE COMPONENTES DE CATENARIA Y AMPLIACIÓN DE CAPACIDAD SERVICIO FERROVIARIO BIOTRÉN ENTRE CONCEPCIÓN - CORONEL / LUIS GARAY ( P-6) / 943441848</t>
  </si>
  <si>
    <t>ICIL ICAFAL (MARCO OSSES)</t>
  </si>
  <si>
    <t>S/E QUILACOYA</t>
  </si>
  <si>
    <t>SUBESTACIÓN</t>
  </si>
  <si>
    <t>LEVANTAMIENTO Y EJECUCION DE PRUEBAS DE PRECOMISIONAMIENTO Y COMISIONAMIENTO DE EQUIPOS DE GRUPO DE TRACCIÓN N°2 / SE SOLICITA DESCONECTAR BARRA DE 66KV DESDE SECC. 189M CON PUESTA A TIERRA HASTA SECC. TIPO CUERNO 189 AL 1 AL 2 MÁS SECC. 189IG. DE SERVICIOS AUXILIARES. ESTO POR CONDICIONES DE INGRESO DE EQUIPOS Y SEGURIDAD / BORIS CORREA (P-6), JONATHAN VILLABLANCA (P-6), LUIS RIVERA (P-6), OMAR ULLOA (P-6) / 944701595, 938941810,  964569235
938941810</t>
  </si>
  <si>
    <t>SIEMENS (ESTEBAN CHAMBE)</t>
  </si>
  <si>
    <t>MANTENIMIENTO BARRA CONFINADA EN DUCTOS BAJO PISO Y BARRA AEREA POSITIVA Y NEGATIVA DE 3000VCC. / SE SOLICITA DESCONEXIÓN DE LA BARRA DE 3KV, TOTALMENTE LIBRE Y ABIERTA DESDE SECCIONADORES TIPO CUERNO 189AL/1 AL 189/2 HASTA EL SECCIONADOR 89/1. ESTA CORTADA NO AFECTA LA SEÑALIZACIÓN. / LUIS VALDERRAMA (P-6), FRANCISCO ROMAN (P-6), LECTER BARRAZA (P-6), NELSON CARTES (P-6)/(P-5.1) / 990770277, 978975751, 932114266, 952059514</t>
  </si>
  <si>
    <t>SIEMENS (JESÚS TRUYOL ROJAS)</t>
  </si>
  <si>
    <t>SR. RICARDO LAGOS HORMAZABAL.</t>
  </si>
  <si>
    <t>295-A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</si>
</sst>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dd/mm/yy;@"/>
    <numFmt numFmtId="166" formatCode="0.000"/>
  </numFmts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8"/>
      <name val="Calibri"/>
      <family val="2"/>
    </font>
    <font>
      <b/>
      <sz val="11"/>
      <color indexed="8"/>
      <name val="Calibri"/>
      <family val="2"/>
    </font>
    <font>
      <b/>
      <sz val="16"/>
      <color indexed="8"/>
      <name val="Calibri"/>
      <family val="2"/>
    </font>
    <font>
      <b/>
      <sz val="12"/>
      <color indexed="8"/>
      <name val="Calibri"/>
      <family val="2"/>
    </font>
    <font>
      <sz val="11"/>
      <color theme="1"/>
      <name val="Calibri"/>
      <family val="2"/>
    </font>
    <font>
      <b/>
      <sz val="8"/>
      <name val="Calibri"/>
      <family val="2"/>
    </font>
    <font>
      <b/>
      <sz val="12"/>
      <name val="Calibri"/>
      <family val="2"/>
    </font>
    <font>
      <b/>
      <i/>
      <sz val="18"/>
      <name val="Calibri"/>
      <family val="2"/>
    </font>
    <font>
      <b/>
      <i/>
      <sz val="18"/>
      <color indexed="12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  <font>
      <b/>
      <sz val="16"/>
      <name val="Calibri"/>
      <family val="2"/>
    </font>
    <font>
      <b/>
      <u/>
      <sz val="11"/>
      <name val="Calibri"/>
      <family val="2"/>
    </font>
    <font>
      <b/>
      <sz val="14"/>
      <color indexed="8"/>
      <name val="Calibri"/>
      <family val="2"/>
    </font>
    <font>
      <u/>
      <sz val="11"/>
      <color theme="10"/>
      <name val="Calibri"/>
      <family val="2"/>
      <scheme val="minor"/>
    </font>
    <font>
      <b/>
      <u/>
      <sz val="16"/>
      <name val="Calibri"/>
      <family val="2"/>
    </font>
    <font>
      <sz val="10"/>
      <color indexed="8"/>
      <name val="Calibri"/>
      <family val="2"/>
    </font>
    <font>
      <sz val="10"/>
      <name val="Calibri"/>
      <family val="2"/>
    </font>
    <font>
      <b/>
      <sz val="18"/>
      <color indexed="8"/>
      <name val="Calibri"/>
      <family val="2"/>
    </font>
    <font>
      <sz val="12"/>
      <color indexed="8"/>
      <name val="Calibri"/>
      <family val="2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indexed="8"/>
      <name val="Calibri"/>
      <family val="2"/>
    </font>
    <font>
      <sz val="10.5"/>
      <color indexed="8"/>
      <name val="Calibri"/>
      <family val="2"/>
    </font>
    <font>
      <sz val="10.5"/>
      <color theme="1"/>
      <name val="Calibri"/>
      <family val="2"/>
      <scheme val="minor"/>
    </font>
    <font>
      <sz val="10.5"/>
      <color theme="1"/>
      <name val="Calibri"/>
      <family val="2"/>
    </font>
    <font>
      <u/>
      <sz val="10.5"/>
      <color theme="10"/>
      <name val="Calibri"/>
      <family val="2"/>
      <scheme val="minor"/>
    </font>
    <font>
      <b/>
      <sz val="10.5"/>
      <color theme="1"/>
      <name val="Calibri"/>
      <family val="2"/>
      <scheme val="minor"/>
    </font>
    <font>
      <b/>
      <u/>
      <sz val="11"/>
      <color rgb="FF002060"/>
      <name val="Calibri"/>
      <family val="2"/>
      <scheme val="minor"/>
    </font>
    <font>
      <b/>
      <sz val="16"/>
      <color rgb="FF000000"/>
      <name val="Calibri"/>
      <family val="2"/>
    </font>
    <font>
      <b/>
      <sz val="18"/>
      <color rgb="FF000000"/>
      <name val="Calibri"/>
      <family val="2"/>
    </font>
    <font>
      <b/>
      <sz val="24"/>
      <color rgb="FF000000"/>
      <name val="Calibri"/>
      <family val="2"/>
    </font>
    <font>
      <b/>
      <sz val="14"/>
      <color rgb="FF000000"/>
      <name val="Calibri"/>
      <family val="2"/>
    </font>
    <font>
      <b/>
      <u/>
      <sz val="12"/>
      <color rgb="FF000000"/>
      <name val="Calibri"/>
      <family val="2"/>
    </font>
    <font>
      <b/>
      <sz val="16"/>
      <color theme="0"/>
      <name val="Calibri"/>
      <family val="2"/>
    </font>
    <font>
      <b/>
      <u/>
      <sz val="16"/>
      <color theme="0"/>
      <name val="Calibri"/>
      <family val="2"/>
    </font>
    <font>
      <b/>
      <sz val="18"/>
      <color rgb="FFC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59999389629810485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16" fillId="0" borderId="0" applyNumberFormat="0" applyFill="0" applyBorder="0" applyAlignment="0" applyProtection="0"/>
  </cellStyleXfs>
  <cellXfs count="165">
    <xf numFmtId="0" fontId="0" fillId="0" borderId="0" xfId="0"/>
    <xf numFmtId="0" fontId="6" fillId="0" borderId="0" xfId="0" applyFont="1"/>
    <xf numFmtId="0" fontId="12" fillId="2" borderId="0" xfId="1" applyFont="1" applyFill="1" applyAlignment="1">
      <alignment horizontal="center" vertical="center" wrapText="1"/>
    </xf>
    <xf numFmtId="1" fontId="12" fillId="2" borderId="0" xfId="1" applyNumberFormat="1" applyFont="1" applyFill="1" applyAlignment="1">
      <alignment horizontal="center" vertical="center" wrapText="1"/>
    </xf>
    <xf numFmtId="20" fontId="12" fillId="2" borderId="0" xfId="1" applyNumberFormat="1" applyFont="1" applyFill="1" applyAlignment="1">
      <alignment horizontal="center" vertical="center" wrapText="1"/>
    </xf>
    <xf numFmtId="165" fontId="12" fillId="2" borderId="0" xfId="1" applyNumberFormat="1" applyFont="1" applyFill="1" applyAlignment="1">
      <alignment horizontal="center" vertical="center"/>
    </xf>
    <xf numFmtId="165" fontId="12" fillId="2" borderId="0" xfId="1" applyNumberFormat="1" applyFont="1" applyFill="1" applyAlignment="1">
      <alignment horizontal="center" vertical="center" wrapText="1"/>
    </xf>
    <xf numFmtId="14" fontId="8" fillId="3" borderId="1" xfId="1" applyNumberFormat="1" applyFont="1" applyFill="1" applyBorder="1" applyAlignment="1">
      <alignment horizontal="center" vertical="center" wrapText="1"/>
    </xf>
    <xf numFmtId="0" fontId="8" fillId="3" borderId="5" xfId="1" applyFont="1" applyFill="1" applyBorder="1" applyAlignment="1">
      <alignment horizontal="center" vertical="center" wrapText="1"/>
    </xf>
    <xf numFmtId="0" fontId="8" fillId="3" borderId="1" xfId="1" applyFont="1" applyFill="1" applyBorder="1" applyAlignment="1">
      <alignment horizontal="center" vertical="center" wrapText="1"/>
    </xf>
    <xf numFmtId="0" fontId="12" fillId="0" borderId="2" xfId="1" applyFont="1" applyBorder="1" applyAlignment="1">
      <alignment horizontal="center" vertical="center" wrapText="1"/>
    </xf>
    <xf numFmtId="14" fontId="12" fillId="0" borderId="2" xfId="1" applyNumberFormat="1" applyFont="1" applyBorder="1" applyAlignment="1">
      <alignment horizontal="center" vertical="center" wrapText="1"/>
    </xf>
    <xf numFmtId="20" fontId="12" fillId="0" borderId="2" xfId="1" applyNumberFormat="1" applyFont="1" applyBorder="1" applyAlignment="1">
      <alignment horizontal="center" vertical="center" wrapText="1"/>
    </xf>
    <xf numFmtId="165" fontId="12" fillId="0" borderId="2" xfId="1" applyNumberFormat="1" applyFont="1" applyBorder="1" applyAlignment="1">
      <alignment horizontal="center" vertical="center" wrapText="1"/>
    </xf>
    <xf numFmtId="0" fontId="11" fillId="3" borderId="9" xfId="1" applyFont="1" applyFill="1" applyBorder="1" applyAlignment="1">
      <alignment horizontal="center" vertical="center"/>
    </xf>
    <xf numFmtId="0" fontId="11" fillId="3" borderId="5" xfId="1" applyFont="1" applyFill="1" applyBorder="1" applyAlignment="1">
      <alignment horizontal="center" vertical="center"/>
    </xf>
    <xf numFmtId="0" fontId="3" fillId="0" borderId="20" xfId="1" applyFont="1" applyBorder="1"/>
    <xf numFmtId="0" fontId="8" fillId="0" borderId="20" xfId="1" applyFont="1" applyBorder="1" applyAlignment="1">
      <alignment vertical="center" wrapText="1"/>
    </xf>
    <xf numFmtId="164" fontId="4" fillId="0" borderId="2" xfId="1" applyNumberFormat="1" applyFont="1" applyBorder="1" applyAlignment="1">
      <alignment horizontal="center" vertical="center"/>
    </xf>
    <xf numFmtId="14" fontId="19" fillId="0" borderId="20" xfId="1" applyNumberFormat="1" applyFont="1" applyBorder="1" applyAlignment="1">
      <alignment horizontal="center" vertical="center" wrapText="1"/>
    </xf>
    <xf numFmtId="14" fontId="5" fillId="0" borderId="7" xfId="1" applyNumberFormat="1" applyFont="1" applyBorder="1" applyAlignment="1">
      <alignment horizontal="center" wrapText="1"/>
    </xf>
    <xf numFmtId="0" fontId="2" fillId="4" borderId="22" xfId="1" applyFont="1" applyFill="1" applyBorder="1" applyAlignment="1">
      <alignment vertical="center" wrapText="1"/>
    </xf>
    <xf numFmtId="0" fontId="2" fillId="4" borderId="23" xfId="1" applyFont="1" applyFill="1" applyBorder="1" applyAlignment="1">
      <alignment vertical="center" wrapText="1"/>
    </xf>
    <xf numFmtId="49" fontId="8" fillId="0" borderId="17" xfId="1" applyNumberFormat="1" applyFont="1" applyBorder="1" applyAlignment="1">
      <alignment vertical="center" wrapText="1"/>
    </xf>
    <xf numFmtId="164" fontId="10" fillId="0" borderId="17" xfId="1" applyNumberFormat="1" applyFont="1" applyBorder="1"/>
    <xf numFmtId="0" fontId="6" fillId="0" borderId="17" xfId="1" applyFont="1" applyBorder="1" applyAlignment="1">
      <alignment horizontal="center" vertical="center" wrapText="1"/>
    </xf>
    <xf numFmtId="0" fontId="12" fillId="0" borderId="30" xfId="1" applyFont="1" applyBorder="1" applyAlignment="1">
      <alignment horizontal="center" vertical="center" wrapText="1"/>
    </xf>
    <xf numFmtId="165" fontId="12" fillId="0" borderId="31" xfId="1" applyNumberFormat="1" applyFont="1" applyBorder="1" applyAlignment="1">
      <alignment horizontal="center" vertical="center" wrapText="1"/>
    </xf>
    <xf numFmtId="0" fontId="7" fillId="2" borderId="16" xfId="1" applyFont="1" applyFill="1" applyBorder="1" applyAlignment="1">
      <alignment horizontal="center" vertical="center" wrapText="1"/>
    </xf>
    <xf numFmtId="0" fontId="6" fillId="2" borderId="17" xfId="0" applyFont="1" applyFill="1" applyBorder="1"/>
    <xf numFmtId="49" fontId="8" fillId="0" borderId="2" xfId="1" applyNumberFormat="1" applyFont="1" applyBorder="1" applyAlignment="1">
      <alignment horizontal="center" vertical="center" wrapText="1"/>
    </xf>
    <xf numFmtId="1" fontId="4" fillId="0" borderId="2" xfId="1" applyNumberFormat="1" applyFont="1" applyBorder="1" applyAlignment="1">
      <alignment horizontal="center" vertical="center"/>
    </xf>
    <xf numFmtId="166" fontId="3" fillId="0" borderId="20" xfId="1" applyNumberFormat="1" applyFont="1" applyBorder="1"/>
    <xf numFmtId="166" fontId="8" fillId="3" borderId="5" xfId="1" applyNumberFormat="1" applyFont="1" applyFill="1" applyBorder="1" applyAlignment="1">
      <alignment horizontal="center" vertical="center" wrapText="1"/>
    </xf>
    <xf numFmtId="166" fontId="12" fillId="0" borderId="2" xfId="1" applyNumberFormat="1" applyFont="1" applyBorder="1" applyAlignment="1">
      <alignment horizontal="center" vertical="center" wrapText="1"/>
    </xf>
    <xf numFmtId="166" fontId="12" fillId="2" borderId="0" xfId="1" applyNumberFormat="1" applyFont="1" applyFill="1" applyAlignment="1">
      <alignment horizontal="center" vertical="center" wrapText="1"/>
    </xf>
    <xf numFmtId="166" fontId="6" fillId="0" borderId="0" xfId="0" applyNumberFormat="1" applyFont="1"/>
    <xf numFmtId="20" fontId="12" fillId="6" borderId="2" xfId="1" applyNumberFormat="1" applyFont="1" applyFill="1" applyBorder="1" applyAlignment="1">
      <alignment horizontal="center" vertical="center" wrapText="1"/>
    </xf>
    <xf numFmtId="0" fontId="12" fillId="0" borderId="2" xfId="1" applyNumberFormat="1" applyFont="1" applyBorder="1" applyAlignment="1">
      <alignment horizontal="center" vertical="center" wrapText="1"/>
    </xf>
    <xf numFmtId="0" fontId="15" fillId="5" borderId="36" xfId="1" applyFont="1" applyFill="1" applyBorder="1" applyAlignment="1">
      <alignment vertical="center" wrapText="1"/>
    </xf>
    <xf numFmtId="0" fontId="15" fillId="5" borderId="37" xfId="1" applyFont="1" applyFill="1" applyBorder="1" applyAlignment="1">
      <alignment vertical="center" wrapText="1"/>
    </xf>
    <xf numFmtId="0" fontId="15" fillId="5" borderId="38" xfId="1" applyFont="1" applyFill="1" applyBorder="1" applyAlignment="1">
      <alignment vertical="center" wrapText="1"/>
    </xf>
    <xf numFmtId="0" fontId="18" fillId="0" borderId="7" xfId="1" applyFont="1" applyBorder="1" applyAlignment="1">
      <alignment horizontal="center"/>
    </xf>
    <xf numFmtId="0" fontId="25" fillId="0" borderId="16" xfId="1" applyFont="1" applyBorder="1" applyAlignment="1">
      <alignment horizontal="center"/>
    </xf>
    <xf numFmtId="0" fontId="26" fillId="0" borderId="16" xfId="1" applyFont="1" applyBorder="1" applyAlignment="1">
      <alignment horizontal="center"/>
    </xf>
    <xf numFmtId="0" fontId="18" fillId="0" borderId="0" xfId="1" applyFont="1" applyBorder="1" applyAlignment="1">
      <alignment horizontal="center"/>
    </xf>
    <xf numFmtId="0" fontId="6" fillId="0" borderId="17" xfId="1" applyFont="1" applyBorder="1" applyAlignment="1">
      <alignment horizontal="center" wrapText="1"/>
    </xf>
    <xf numFmtId="0" fontId="6" fillId="0" borderId="0" xfId="0" applyFont="1" applyAlignment="1"/>
    <xf numFmtId="0" fontId="28" fillId="0" borderId="17" xfId="1" applyFont="1" applyBorder="1" applyAlignment="1">
      <alignment horizontal="center" wrapText="1"/>
    </xf>
    <xf numFmtId="0" fontId="28" fillId="0" borderId="0" xfId="0" applyFont="1" applyAlignment="1"/>
    <xf numFmtId="0" fontId="7" fillId="2" borderId="39" xfId="1" applyFont="1" applyFill="1" applyBorder="1" applyAlignment="1">
      <alignment horizontal="center" vertical="center" wrapText="1"/>
    </xf>
    <xf numFmtId="14" fontId="11" fillId="2" borderId="40" xfId="1" applyNumberFormat="1" applyFont="1" applyFill="1" applyBorder="1" applyAlignment="1">
      <alignment horizontal="center" vertical="center" wrapText="1"/>
    </xf>
    <xf numFmtId="0" fontId="11" fillId="2" borderId="40" xfId="1" applyFont="1" applyFill="1" applyBorder="1" applyAlignment="1">
      <alignment horizontal="center" vertical="center" wrapText="1"/>
    </xf>
    <xf numFmtId="166" fontId="11" fillId="2" borderId="40" xfId="1" applyNumberFormat="1" applyFont="1" applyFill="1" applyBorder="1" applyAlignment="1">
      <alignment horizontal="center" vertical="center" wrapText="1"/>
    </xf>
    <xf numFmtId="20" fontId="11" fillId="2" borderId="41" xfId="1" applyNumberFormat="1" applyFont="1" applyFill="1" applyBorder="1" applyAlignment="1">
      <alignment horizontal="center" vertical="center" wrapText="1"/>
    </xf>
    <xf numFmtId="165" fontId="11" fillId="2" borderId="40" xfId="1" applyNumberFormat="1" applyFont="1" applyFill="1" applyBorder="1" applyAlignment="1">
      <alignment horizontal="center" vertical="center"/>
    </xf>
    <xf numFmtId="165" fontId="11" fillId="2" borderId="42" xfId="1" applyNumberFormat="1" applyFont="1" applyFill="1" applyBorder="1" applyAlignment="1">
      <alignment horizontal="center" vertical="center"/>
    </xf>
    <xf numFmtId="0" fontId="14" fillId="0" borderId="0" xfId="1" applyFont="1" applyBorder="1" applyAlignment="1">
      <alignment vertical="center" wrapText="1"/>
    </xf>
    <xf numFmtId="0" fontId="12" fillId="0" borderId="0" xfId="1" applyFont="1" applyBorder="1" applyAlignment="1">
      <alignment vertical="center" wrapText="1"/>
    </xf>
    <xf numFmtId="0" fontId="18" fillId="0" borderId="14" xfId="1" applyFont="1" applyBorder="1" applyAlignment="1">
      <alignment horizontal="center"/>
    </xf>
    <xf numFmtId="0" fontId="18" fillId="0" borderId="18" xfId="1" applyFont="1" applyBorder="1" applyAlignment="1">
      <alignment horizontal="center"/>
    </xf>
    <xf numFmtId="0" fontId="5" fillId="0" borderId="7" xfId="1" applyFont="1" applyBorder="1" applyAlignment="1">
      <alignment horizontal="left"/>
    </xf>
    <xf numFmtId="166" fontId="6" fillId="0" borderId="7" xfId="1" applyNumberFormat="1" applyFont="1" applyBorder="1"/>
    <xf numFmtId="0" fontId="6" fillId="0" borderId="7" xfId="1" applyFont="1" applyBorder="1"/>
    <xf numFmtId="0" fontId="5" fillId="0" borderId="6" xfId="1" applyFont="1" applyBorder="1" applyAlignment="1">
      <alignment horizontal="left"/>
    </xf>
    <xf numFmtId="14" fontId="5" fillId="0" borderId="6" xfId="1" applyNumberFormat="1" applyFont="1" applyBorder="1" applyAlignment="1">
      <alignment horizontal="center" wrapText="1"/>
    </xf>
    <xf numFmtId="166" fontId="6" fillId="0" borderId="6" xfId="1" applyNumberFormat="1" applyFont="1" applyBorder="1" applyAlignment="1"/>
    <xf numFmtId="0" fontId="6" fillId="0" borderId="0" xfId="0" applyFont="1" applyBorder="1"/>
    <xf numFmtId="166" fontId="6" fillId="0" borderId="0" xfId="0" applyNumberFormat="1" applyFont="1" applyBorder="1"/>
    <xf numFmtId="0" fontId="7" fillId="0" borderId="36" xfId="1" applyFont="1" applyBorder="1" applyAlignment="1">
      <alignment horizontal="center" vertical="center" wrapText="1"/>
    </xf>
    <xf numFmtId="0" fontId="14" fillId="0" borderId="37" xfId="1" applyFont="1" applyBorder="1" applyAlignment="1">
      <alignment vertical="center" wrapText="1"/>
    </xf>
    <xf numFmtId="0" fontId="14" fillId="0" borderId="38" xfId="1" applyFont="1" applyBorder="1" applyAlignment="1">
      <alignment vertical="center" wrapText="1"/>
    </xf>
    <xf numFmtId="166" fontId="8" fillId="0" borderId="0" xfId="1" applyNumberFormat="1" applyFont="1" applyBorder="1" applyAlignment="1">
      <alignment vertical="center" wrapText="1"/>
    </xf>
    <xf numFmtId="0" fontId="8" fillId="0" borderId="0" xfId="1" applyFont="1" applyBorder="1" applyAlignment="1">
      <alignment vertical="center" wrapText="1"/>
    </xf>
    <xf numFmtId="49" fontId="18" fillId="0" borderId="0" xfId="1" applyNumberFormat="1" applyFont="1" applyBorder="1" applyAlignment="1">
      <alignment horizontal="center" vertical="center" wrapText="1"/>
    </xf>
    <xf numFmtId="0" fontId="3" fillId="0" borderId="0" xfId="1" applyFont="1" applyBorder="1"/>
    <xf numFmtId="49" fontId="8" fillId="0" borderId="0" xfId="1" applyNumberFormat="1" applyFont="1" applyBorder="1" applyAlignment="1">
      <alignment vertical="center" wrapText="1"/>
    </xf>
    <xf numFmtId="49" fontId="9" fillId="0" borderId="0" xfId="1" applyNumberFormat="1" applyFont="1" applyBorder="1" applyAlignment="1">
      <alignment horizontal="center" wrapText="1"/>
    </xf>
    <xf numFmtId="0" fontId="4" fillId="0" borderId="0" xfId="1" applyFont="1" applyBorder="1"/>
    <xf numFmtId="164" fontId="10" fillId="0" borderId="0" xfId="1" applyNumberFormat="1" applyFont="1" applyBorder="1"/>
    <xf numFmtId="14" fontId="5" fillId="0" borderId="0" xfId="1" applyNumberFormat="1" applyFont="1" applyBorder="1" applyAlignment="1">
      <alignment horizontal="center" wrapText="1"/>
    </xf>
    <xf numFmtId="0" fontId="6" fillId="0" borderId="0" xfId="1" applyFont="1" applyBorder="1"/>
    <xf numFmtId="166" fontId="6" fillId="0" borderId="0" xfId="1" applyNumberFormat="1" applyFont="1" applyBorder="1"/>
    <xf numFmtId="0" fontId="23" fillId="7" borderId="0" xfId="0" applyFont="1" applyFill="1" applyBorder="1" applyAlignment="1"/>
    <xf numFmtId="0" fontId="31" fillId="7" borderId="0" xfId="0" applyFont="1" applyFill="1" applyBorder="1" applyAlignment="1"/>
    <xf numFmtId="0" fontId="31" fillId="7" borderId="0" xfId="0" applyFont="1" applyFill="1" applyBorder="1" applyAlignment="1">
      <alignment horizontal="center"/>
    </xf>
    <xf numFmtId="0" fontId="27" fillId="7" borderId="0" xfId="0" applyFont="1" applyFill="1" applyBorder="1" applyAlignment="1"/>
    <xf numFmtId="0" fontId="24" fillId="7" borderId="0" xfId="0" applyFont="1" applyFill="1" applyBorder="1" applyAlignment="1"/>
    <xf numFmtId="0" fontId="22" fillId="7" borderId="0" xfId="0" applyFont="1" applyFill="1" applyBorder="1" applyAlignment="1">
      <alignment horizontal="center"/>
    </xf>
    <xf numFmtId="0" fontId="29" fillId="7" borderId="0" xfId="3" applyFont="1" applyFill="1" applyBorder="1" applyAlignment="1">
      <alignment horizontal="center"/>
    </xf>
    <xf numFmtId="0" fontId="29" fillId="7" borderId="0" xfId="3" applyFont="1" applyFill="1" applyBorder="1" applyAlignment="1"/>
    <xf numFmtId="166" fontId="28" fillId="0" borderId="0" xfId="1" applyNumberFormat="1" applyFont="1" applyBorder="1" applyAlignment="1"/>
    <xf numFmtId="0" fontId="28" fillId="0" borderId="0" xfId="1" applyFont="1" applyBorder="1" applyAlignment="1"/>
    <xf numFmtId="166" fontId="6" fillId="0" borderId="0" xfId="1" applyNumberFormat="1" applyFont="1" applyBorder="1" applyAlignment="1"/>
    <xf numFmtId="0" fontId="6" fillId="0" borderId="0" xfId="1" applyFont="1" applyBorder="1" applyAlignment="1"/>
    <xf numFmtId="0" fontId="24" fillId="7" borderId="0" xfId="0" applyFont="1" applyFill="1" applyBorder="1" applyAlignment="1">
      <alignment horizontal="center"/>
    </xf>
    <xf numFmtId="0" fontId="30" fillId="7" borderId="0" xfId="0" applyFont="1" applyFill="1" applyBorder="1" applyAlignment="1">
      <alignment horizontal="center"/>
    </xf>
    <xf numFmtId="0" fontId="26" fillId="0" borderId="18" xfId="1" applyFont="1" applyBorder="1" applyAlignment="1">
      <alignment horizontal="center"/>
    </xf>
    <xf numFmtId="0" fontId="6" fillId="0" borderId="7" xfId="1" applyFont="1" applyBorder="1" applyAlignment="1"/>
    <xf numFmtId="166" fontId="6" fillId="0" borderId="7" xfId="1" applyNumberFormat="1" applyFont="1" applyBorder="1" applyAlignment="1"/>
    <xf numFmtId="0" fontId="6" fillId="0" borderId="19" xfId="1" applyFont="1" applyBorder="1" applyAlignment="1">
      <alignment horizontal="center" wrapText="1"/>
    </xf>
    <xf numFmtId="0" fontId="31" fillId="7" borderId="0" xfId="0" applyFont="1" applyFill="1" applyBorder="1" applyAlignment="1">
      <alignment horizontal="center"/>
    </xf>
    <xf numFmtId="0" fontId="24" fillId="7" borderId="0" xfId="0" applyFont="1" applyFill="1" applyBorder="1" applyAlignment="1">
      <alignment horizontal="center"/>
    </xf>
    <xf numFmtId="0" fontId="22" fillId="7" borderId="0" xfId="0" applyFont="1" applyFill="1" applyBorder="1" applyAlignment="1">
      <alignment horizontal="center"/>
    </xf>
    <xf numFmtId="0" fontId="29" fillId="7" borderId="0" xfId="3" applyFont="1" applyFill="1" applyBorder="1" applyAlignment="1">
      <alignment horizontal="center"/>
    </xf>
    <xf numFmtId="0" fontId="30" fillId="7" borderId="0" xfId="0" applyFont="1" applyFill="1" applyBorder="1" applyAlignment="1">
      <alignment horizontal="center"/>
    </xf>
    <xf numFmtId="0" fontId="8" fillId="3" borderId="28" xfId="1" applyFont="1" applyFill="1" applyBorder="1" applyAlignment="1">
      <alignment horizontal="center" vertical="center" wrapText="1"/>
    </xf>
    <xf numFmtId="0" fontId="8" fillId="3" borderId="29" xfId="1" applyFont="1" applyFill="1" applyBorder="1" applyAlignment="1">
      <alignment horizontal="center" vertical="center" wrapText="1"/>
    </xf>
    <xf numFmtId="0" fontId="14" fillId="0" borderId="37" xfId="1" applyFont="1" applyBorder="1" applyAlignment="1">
      <alignment horizontal="center" vertical="center"/>
    </xf>
    <xf numFmtId="0" fontId="12" fillId="0" borderId="0" xfId="1" applyFont="1" applyBorder="1" applyAlignment="1">
      <alignment horizontal="left" vertical="center"/>
    </xf>
    <xf numFmtId="0" fontId="15" fillId="5" borderId="37" xfId="1" applyFont="1" applyFill="1" applyBorder="1" applyAlignment="1">
      <alignment horizontal="center" vertical="center" wrapText="1"/>
    </xf>
    <xf numFmtId="0" fontId="8" fillId="3" borderId="13" xfId="1" applyFont="1" applyFill="1" applyBorder="1" applyAlignment="1">
      <alignment horizontal="center" vertical="center"/>
    </xf>
    <xf numFmtId="0" fontId="8" fillId="3" borderId="12" xfId="1" applyFont="1" applyFill="1" applyBorder="1" applyAlignment="1">
      <alignment horizontal="center" vertical="center"/>
    </xf>
    <xf numFmtId="0" fontId="8" fillId="3" borderId="11" xfId="1" applyFont="1" applyFill="1" applyBorder="1" applyAlignment="1">
      <alignment horizontal="center" vertical="center"/>
    </xf>
    <xf numFmtId="0" fontId="8" fillId="3" borderId="11" xfId="1" applyFont="1" applyFill="1" applyBorder="1" applyAlignment="1">
      <alignment horizontal="center" vertical="center" wrapText="1"/>
    </xf>
    <xf numFmtId="0" fontId="8" fillId="3" borderId="12" xfId="1" applyFont="1" applyFill="1" applyBorder="1" applyAlignment="1">
      <alignment horizontal="center" vertical="center" wrapText="1"/>
    </xf>
    <xf numFmtId="0" fontId="8" fillId="3" borderId="10" xfId="1" applyFont="1" applyFill="1" applyBorder="1" applyAlignment="1">
      <alignment horizontal="center" vertical="center" wrapText="1"/>
    </xf>
    <xf numFmtId="0" fontId="8" fillId="3" borderId="8" xfId="1" applyFont="1" applyFill="1" applyBorder="1" applyAlignment="1">
      <alignment horizontal="center" vertical="center" wrapText="1"/>
    </xf>
    <xf numFmtId="0" fontId="12" fillId="0" borderId="3" xfId="1" applyFont="1" applyBorder="1" applyAlignment="1">
      <alignment horizontal="center" vertical="center" wrapText="1"/>
    </xf>
    <xf numFmtId="0" fontId="12" fillId="0" borderId="43" xfId="1" applyFont="1" applyBorder="1" applyAlignment="1">
      <alignment horizontal="center" vertical="center" wrapText="1"/>
    </xf>
    <xf numFmtId="0" fontId="12" fillId="0" borderId="4" xfId="1" applyFont="1" applyBorder="1" applyAlignment="1">
      <alignment horizontal="center" vertical="center" wrapText="1"/>
    </xf>
    <xf numFmtId="0" fontId="9" fillId="0" borderId="27" xfId="1" applyFont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18" fillId="0" borderId="16" xfId="1" applyFont="1" applyBorder="1" applyAlignment="1">
      <alignment horizontal="center"/>
    </xf>
    <xf numFmtId="0" fontId="18" fillId="0" borderId="0" xfId="1" applyFont="1" applyBorder="1" applyAlignment="1">
      <alignment horizontal="center"/>
    </xf>
    <xf numFmtId="0" fontId="8" fillId="3" borderId="14" xfId="1" applyFont="1" applyFill="1" applyBorder="1" applyAlignment="1">
      <alignment horizontal="center" vertical="center"/>
    </xf>
    <xf numFmtId="0" fontId="8" fillId="3" borderId="16" xfId="1" applyFont="1" applyFill="1" applyBorder="1" applyAlignment="1">
      <alignment horizontal="center" vertical="center"/>
    </xf>
    <xf numFmtId="14" fontId="21" fillId="0" borderId="2" xfId="1" applyNumberFormat="1" applyFont="1" applyBorder="1" applyAlignment="1">
      <alignment horizontal="center" vertical="center"/>
    </xf>
    <xf numFmtId="164" fontId="5" fillId="4" borderId="23" xfId="1" applyNumberFormat="1" applyFont="1" applyFill="1" applyBorder="1" applyAlignment="1">
      <alignment horizontal="center" vertical="center"/>
    </xf>
    <xf numFmtId="164" fontId="5" fillId="4" borderId="24" xfId="1" applyNumberFormat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0" fontId="18" fillId="0" borderId="20" xfId="1" applyFont="1" applyBorder="1" applyAlignment="1">
      <alignment horizontal="center" vertical="center"/>
    </xf>
    <xf numFmtId="0" fontId="7" fillId="0" borderId="20" xfId="1" applyFont="1" applyBorder="1" applyAlignment="1">
      <alignment horizontal="center" vertical="center" wrapText="1"/>
    </xf>
    <xf numFmtId="0" fontId="7" fillId="0" borderId="26" xfId="1" applyFont="1" applyBorder="1" applyAlignment="1">
      <alignment horizontal="center" vertical="center" wrapText="1"/>
    </xf>
    <xf numFmtId="0" fontId="20" fillId="4" borderId="23" xfId="1" applyFont="1" applyFill="1" applyBorder="1" applyAlignment="1">
      <alignment horizontal="center" vertical="center" wrapText="1"/>
    </xf>
    <xf numFmtId="166" fontId="5" fillId="0" borderId="2" xfId="1" applyNumberFormat="1" applyFont="1" applyBorder="1" applyAlignment="1">
      <alignment horizontal="center" vertical="center"/>
    </xf>
    <xf numFmtId="0" fontId="18" fillId="0" borderId="27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13" fillId="9" borderId="36" xfId="1" applyFont="1" applyFill="1" applyBorder="1" applyAlignment="1">
      <alignment horizontal="center" vertical="center" wrapText="1"/>
    </xf>
    <xf numFmtId="0" fontId="13" fillId="9" borderId="37" xfId="1" applyFont="1" applyFill="1" applyBorder="1" applyAlignment="1">
      <alignment horizontal="center" vertical="center"/>
    </xf>
    <xf numFmtId="0" fontId="13" fillId="9" borderId="38" xfId="1" applyFont="1" applyFill="1" applyBorder="1" applyAlignment="1">
      <alignment horizontal="center" vertical="center"/>
    </xf>
    <xf numFmtId="0" fontId="35" fillId="6" borderId="36" xfId="1" applyFont="1" applyFill="1" applyBorder="1" applyAlignment="1">
      <alignment horizontal="center" vertical="center" wrapText="1"/>
    </xf>
    <xf numFmtId="0" fontId="15" fillId="6" borderId="37" xfId="1" applyFont="1" applyFill="1" applyBorder="1" applyAlignment="1">
      <alignment horizontal="center" vertical="center" wrapText="1"/>
    </xf>
    <xf numFmtId="0" fontId="15" fillId="6" borderId="38" xfId="1" applyFont="1" applyFill="1" applyBorder="1" applyAlignment="1">
      <alignment horizontal="center" vertical="center" wrapText="1"/>
    </xf>
    <xf numFmtId="0" fontId="37" fillId="8" borderId="36" xfId="1" applyFont="1" applyFill="1" applyBorder="1" applyAlignment="1">
      <alignment horizontal="center" vertical="center" wrapText="1"/>
    </xf>
    <xf numFmtId="0" fontId="37" fillId="8" borderId="37" xfId="1" applyFont="1" applyFill="1" applyBorder="1" applyAlignment="1">
      <alignment horizontal="center" vertical="center" wrapText="1"/>
    </xf>
    <xf numFmtId="0" fontId="37" fillId="8" borderId="38" xfId="1" applyFont="1" applyFill="1" applyBorder="1" applyAlignment="1">
      <alignment horizontal="center" vertical="center" wrapText="1"/>
    </xf>
    <xf numFmtId="0" fontId="5" fillId="0" borderId="6" xfId="1" applyFont="1" applyBorder="1" applyAlignment="1">
      <alignment horizontal="left" vertical="center"/>
    </xf>
    <xf numFmtId="0" fontId="5" fillId="0" borderId="15" xfId="1" applyFont="1" applyBorder="1" applyAlignment="1">
      <alignment horizontal="left" vertical="center"/>
    </xf>
    <xf numFmtId="0" fontId="5" fillId="0" borderId="7" xfId="1" applyFont="1" applyBorder="1" applyAlignment="1">
      <alignment horizontal="left" vertical="center"/>
    </xf>
    <xf numFmtId="0" fontId="5" fillId="0" borderId="19" xfId="1" applyFont="1" applyBorder="1" applyAlignment="1">
      <alignment horizontal="left" vertical="center"/>
    </xf>
    <xf numFmtId="166" fontId="8" fillId="3" borderId="11" xfId="1" applyNumberFormat="1" applyFont="1" applyFill="1" applyBorder="1" applyAlignment="1">
      <alignment horizontal="center" vertical="center" wrapText="1"/>
    </xf>
    <xf numFmtId="166" fontId="8" fillId="3" borderId="12" xfId="1" applyNumberFormat="1" applyFont="1" applyFill="1" applyBorder="1" applyAlignment="1">
      <alignment horizontal="center" vertical="center" wrapText="1"/>
    </xf>
    <xf numFmtId="0" fontId="8" fillId="3" borderId="5" xfId="1" applyFont="1" applyFill="1" applyBorder="1" applyAlignment="1">
      <alignment horizontal="center" vertical="center" wrapText="1"/>
    </xf>
    <xf numFmtId="0" fontId="8" fillId="3" borderId="1" xfId="1" applyFont="1" applyFill="1" applyBorder="1" applyAlignment="1">
      <alignment horizontal="center" vertical="center" wrapText="1"/>
    </xf>
    <xf numFmtId="14" fontId="8" fillId="3" borderId="3" xfId="1" applyNumberFormat="1" applyFont="1" applyFill="1" applyBorder="1" applyAlignment="1">
      <alignment horizontal="center" vertical="center" wrapText="1"/>
    </xf>
    <xf numFmtId="14" fontId="8" fillId="3" borderId="4" xfId="1" applyNumberFormat="1" applyFont="1" applyFill="1" applyBorder="1" applyAlignment="1">
      <alignment horizontal="center" vertical="center" wrapText="1"/>
    </xf>
    <xf numFmtId="0" fontId="8" fillId="3" borderId="33" xfId="1" applyFont="1" applyFill="1" applyBorder="1" applyAlignment="1">
      <alignment horizontal="center" vertical="center" wrapText="1"/>
    </xf>
    <xf numFmtId="0" fontId="8" fillId="3" borderId="35" xfId="1" applyFont="1" applyFill="1" applyBorder="1" applyAlignment="1">
      <alignment horizontal="center" vertical="center" wrapText="1"/>
    </xf>
    <xf numFmtId="165" fontId="8" fillId="3" borderId="34" xfId="1" applyNumberFormat="1" applyFont="1" applyFill="1" applyBorder="1" applyAlignment="1">
      <alignment horizontal="center" vertical="center" wrapText="1"/>
    </xf>
    <xf numFmtId="165" fontId="8" fillId="3" borderId="32" xfId="1" applyNumberFormat="1" applyFont="1" applyFill="1" applyBorder="1" applyAlignment="1">
      <alignment horizontal="center" vertical="center" wrapText="1"/>
    </xf>
    <xf numFmtId="165" fontId="8" fillId="3" borderId="3" xfId="1" applyNumberFormat="1" applyFont="1" applyFill="1" applyBorder="1" applyAlignment="1">
      <alignment horizontal="center" vertical="center" wrapText="1"/>
    </xf>
    <xf numFmtId="165" fontId="8" fillId="3" borderId="4" xfId="1" applyNumberFormat="1" applyFont="1" applyFill="1" applyBorder="1" applyAlignment="1">
      <alignment horizontal="center" vertical="center" wrapText="1"/>
    </xf>
    <xf numFmtId="20" fontId="8" fillId="3" borderId="3" xfId="1" applyNumberFormat="1" applyFont="1" applyFill="1" applyBorder="1" applyAlignment="1">
      <alignment horizontal="center" vertical="center" wrapText="1"/>
    </xf>
    <xf numFmtId="20" fontId="8" fillId="3" borderId="4" xfId="1" applyNumberFormat="1" applyFont="1" applyFill="1" applyBorder="1" applyAlignment="1">
      <alignment horizontal="center" vertical="center" wrapText="1"/>
    </xf>
  </cellXfs>
  <cellStyles count="4">
    <cellStyle name="Hipervínculo" xfId="3" builtinId="8"/>
    <cellStyle name="Normal" xfId="0" builtinId="0"/>
    <cellStyle name="Normal 2" xfId="1" xr:uid="{00000000-0005-0000-0000-000002000000}"/>
    <cellStyle name="Normal 2 13" xfId="2" xr:uid="{00000000-0005-0000-0000-000003000000}"/>
  </cellStyles>
  <dxfs count="5">
    <dxf>
      <font>
        <color rgb="FFFF0000"/>
      </font>
    </dxf>
    <dxf>
      <font>
        <color rgb="FFFF0000"/>
      </font>
      <fill>
        <patternFill patternType="none">
          <bgColor auto="1"/>
        </patternFill>
      </fill>
    </dxf>
    <dxf>
      <font>
        <color auto="1"/>
      </font>
      <fill>
        <patternFill>
          <bgColor rgb="FFFFFF66"/>
        </patternFill>
      </fill>
    </dxf>
    <dxf>
      <fill>
        <patternFill>
          <bgColor theme="4" tint="0.79998168889431442"/>
        </patternFill>
      </fill>
    </dxf>
    <dxf>
      <fill>
        <patternFill>
          <bgColor rgb="FFFFF9CD"/>
        </patternFill>
      </fill>
    </dxf>
  </dxfs>
  <tableStyles count="0" defaultTableStyle="TableStyleMedium2" defaultPivotStyle="PivotStyleMedium9"/>
  <colors>
    <mruColors>
      <color rgb="FFFFF9CD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3151094</xdr:colOff>
      <xdr:row>0</xdr:row>
      <xdr:rowOff>51308</xdr:rowOff>
    </xdr:from>
    <xdr:ext cx="1652067" cy="264560"/>
    <xdr:sp macro="" textlink="">
      <xdr:nvSpPr>
        <xdr:cNvPr id="2" name="1 CuadroTex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10151969" y="51308"/>
          <a:ext cx="1652067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r"/>
          <a:r>
            <a:rPr lang="es-CL" sz="1100" b="1" baseline="0"/>
            <a:t>VALIDO PARA EL DIA :</a:t>
          </a:r>
          <a:endParaRPr lang="es-CL" sz="1100" b="1"/>
        </a:p>
      </xdr:txBody>
    </xdr:sp>
    <xdr:clientData/>
  </xdr:oneCellAnchor>
  <xdr:twoCellAnchor>
    <xdr:from>
      <xdr:col>5</xdr:col>
      <xdr:colOff>76200</xdr:colOff>
      <xdr:row>66</xdr:row>
      <xdr:rowOff>77320</xdr:rowOff>
    </xdr:from>
    <xdr:to>
      <xdr:col>7</xdr:col>
      <xdr:colOff>3207683</xdr:colOff>
      <xdr:row>66</xdr:row>
      <xdr:rowOff>1704975</xdr:rowOff>
    </xdr:to>
    <xdr:sp macro="" textlink="">
      <xdr:nvSpPr>
        <xdr:cNvPr id="785" name="784 CuadroTexto">
          <a:extLst>
            <a:ext uri="{FF2B5EF4-FFF2-40B4-BE49-F238E27FC236}">
              <a16:creationId xmlns:a16="http://schemas.microsoft.com/office/drawing/2014/main" id="{00000000-0008-0000-0000-000011030000}"/>
            </a:ext>
          </a:extLst>
        </xdr:cNvPr>
        <xdr:cNvSpPr txBox="1"/>
      </xdr:nvSpPr>
      <xdr:spPr>
        <a:xfrm>
          <a:off x="4457700" y="19984570"/>
          <a:ext cx="5560358" cy="1627655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s-CL" sz="1400" b="1" u="sng"/>
            <a:t>VELOCIDADES DE PASO POR PaN CON SLA Y GUARDA CRUZADA</a:t>
          </a:r>
        </a:p>
        <a:p>
          <a:pPr algn="ctr"/>
          <a:r>
            <a:rPr lang="es-CL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(SOLO TREN PASAJEROS)</a:t>
          </a:r>
        </a:p>
        <a:p>
          <a:pPr algn="ctr"/>
          <a:r>
            <a:rPr lang="es-CL" sz="1200" b="1" i="0" u="sng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NOMBRE		UBICACIÓN		VELOCIDAD</a:t>
          </a:r>
          <a:r>
            <a:rPr lang="es-CL" sz="1200" u="sng"/>
            <a:t> </a:t>
          </a:r>
        </a:p>
        <a:p>
          <a:pPr algn="ctr"/>
          <a:r>
            <a:rPr lang="es-CL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1.- LOS  ACACIOS, ( TL )	PK. 24,537		30 KM/HR</a:t>
          </a:r>
        </a:p>
        <a:p>
          <a:pPr algn="ctr"/>
          <a:endParaRPr lang="es-CL" sz="12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s-CL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2.- UNIHUE		PK. 29,070	</a:t>
          </a:r>
          <a:r>
            <a:rPr lang="es-CL" sz="1200" b="1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15</a:t>
          </a:r>
          <a:r>
            <a:rPr lang="es-CL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KM/HR</a:t>
          </a:r>
        </a:p>
        <a:p>
          <a:pPr algn="ctr"/>
          <a:endParaRPr lang="es-CL" sz="12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s-CL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3.- SAN MIGUEL	PK.</a:t>
          </a:r>
          <a:r>
            <a:rPr lang="es-CL" sz="1200" b="1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34,100</a:t>
          </a:r>
          <a:r>
            <a:rPr lang="es-CL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3</a:t>
          </a:r>
          <a:r>
            <a:rPr lang="es-CL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 KM/HR</a:t>
          </a:r>
          <a:endParaRPr lang="es-CL" sz="1100"/>
        </a:p>
      </xdr:txBody>
    </xdr:sp>
    <xdr:clientData/>
  </xdr:twoCellAnchor>
  <xdr:twoCellAnchor editAs="oneCell">
    <xdr:from>
      <xdr:col>10</xdr:col>
      <xdr:colOff>9525</xdr:colOff>
      <xdr:row>1</xdr:row>
      <xdr:rowOff>57150</xdr:rowOff>
    </xdr:from>
    <xdr:to>
      <xdr:col>12</xdr:col>
      <xdr:colOff>541125</xdr:colOff>
      <xdr:row>4</xdr:row>
      <xdr:rowOff>88175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9892B38-0D97-4001-943D-BF4EFDC3D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39600" y="409575"/>
          <a:ext cx="1696825" cy="723175"/>
        </a:xfrm>
        <a:prstGeom prst="rect">
          <a:avLst/>
        </a:prstGeom>
      </xdr:spPr>
    </xdr:pic>
    <xdr:clientData/>
  </xdr:twoCellAnchor>
  <xdr:twoCellAnchor>
    <xdr:from>
      <xdr:col>0</xdr:col>
      <xdr:colOff>152400</xdr:colOff>
      <xdr:row>1</xdr:row>
      <xdr:rowOff>152400</xdr:rowOff>
    </xdr:from>
    <xdr:to>
      <xdr:col>2</xdr:col>
      <xdr:colOff>978900</xdr:colOff>
      <xdr:row>4</xdr:row>
      <xdr:rowOff>47624</xdr:rowOff>
    </xdr:to>
    <xdr:sp macro="" textlink="">
      <xdr:nvSpPr>
        <xdr:cNvPr id="6" name="784 CuadroTexto">
          <a:extLst>
            <a:ext uri="{FF2B5EF4-FFF2-40B4-BE49-F238E27FC236}">
              <a16:creationId xmlns:a16="http://schemas.microsoft.com/office/drawing/2014/main" id="{B8386D9D-29BA-4CB2-A725-17F107AEAAAC}"/>
            </a:ext>
          </a:extLst>
        </xdr:cNvPr>
        <xdr:cNvSpPr txBox="1"/>
      </xdr:nvSpPr>
      <xdr:spPr>
        <a:xfrm>
          <a:off x="152400" y="504825"/>
          <a:ext cx="2160000" cy="590549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72000" tIns="0" rIns="36000" bIns="0" rtlCol="0" anchor="ctr" anchorCtr="0"/>
        <a:lstStyle/>
        <a:p>
          <a:pPr algn="l"/>
          <a:r>
            <a:rPr lang="es-CL" sz="1000"/>
            <a:t>FECHA	30-03-2016</a:t>
          </a:r>
        </a:p>
        <a:p>
          <a:pPr algn="l"/>
          <a:r>
            <a:rPr lang="es-CL" sz="1000"/>
            <a:t>DOC	R-B.V.C-TRA-001</a:t>
          </a:r>
        </a:p>
        <a:p>
          <a:pPr algn="l"/>
          <a:r>
            <a:rPr lang="es-CL" sz="1000"/>
            <a:t>REV	01</a:t>
          </a:r>
        </a:p>
      </xdr:txBody>
    </xdr:sp>
    <xdr:clientData/>
  </xdr:twoCellAnchor>
  <xdr:twoCellAnchor editAs="oneCell">
    <xdr:from>
      <xdr:col>1</xdr:col>
      <xdr:colOff>0</xdr:colOff>
      <xdr:row>15</xdr:row>
      <xdr:rowOff>38100</xdr:rowOff>
    </xdr:from>
    <xdr:to>
      <xdr:col>5</xdr:col>
      <xdr:colOff>596900</xdr:colOff>
      <xdr:row>15</xdr:row>
      <xdr:rowOff>925513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825ECBC3-F463-4916-A8E4-49EDD16F613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3067050"/>
          <a:ext cx="4695825" cy="8905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controlador.sser@efesur.cl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despacho.electrico@efesur.cl" TargetMode="External"/><Relationship Id="rId1" Type="http://schemas.openxmlformats.org/officeDocument/2006/relationships/hyperlink" Target="mailto:ct.con@efesur.cl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operador.concepcion@efesur.cl" TargetMode="External"/><Relationship Id="rId4" Type="http://schemas.openxmlformats.org/officeDocument/2006/relationships/hyperlink" Target="mailto:ct.con@efesur.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74"/>
  <sheetViews>
    <sheetView showGridLines="0" tabSelected="1" topLeftCell="A28" zoomScaleNormal="100" workbookViewId="0">
      <selection activeCell="B39" sqref="B39"/>
    </sheetView>
  </sheetViews>
  <sheetFormatPr baseColWidth="10" defaultColWidth="9.140625" defaultRowHeight="15" x14ac:dyDescent="0.25"/>
  <cols>
    <col min="1" max="1" width="4.28515625" style="1" customWidth="1"/>
    <col min="2" max="3" width="15.7109375" style="1" customWidth="1"/>
    <col min="4" max="4" width="18.5703125" style="1" customWidth="1"/>
    <col min="5" max="6" width="11.42578125" style="36" customWidth="1"/>
    <col min="7" max="7" width="25" style="1" customWidth="1"/>
    <col min="8" max="8" width="61.140625" style="1" customWidth="1"/>
    <col min="9" max="10" width="8.5703125" style="1" customWidth="1"/>
    <col min="11" max="12" width="8.7109375" style="1" customWidth="1"/>
    <col min="13" max="13" width="18.5703125" style="1" customWidth="1"/>
    <col min="14" max="16384" width="9.140625" style="1"/>
  </cols>
  <sheetData>
    <row r="1" spans="1:13" ht="27.75" customHeight="1" thickBot="1" x14ac:dyDescent="0.3">
      <c r="A1" s="21"/>
      <c r="B1" s="22"/>
      <c r="C1" s="22"/>
      <c r="D1" s="22"/>
      <c r="E1" s="134" t="s">
        <v>23</v>
      </c>
      <c r="F1" s="134"/>
      <c r="G1" s="134"/>
      <c r="H1" s="134"/>
      <c r="I1" s="22"/>
      <c r="J1" s="128">
        <v>46317</v>
      </c>
      <c r="K1" s="128"/>
      <c r="L1" s="128"/>
      <c r="M1" s="129"/>
    </row>
    <row r="2" spans="1:13" ht="13.5" customHeight="1" thickTop="1" x14ac:dyDescent="0.25">
      <c r="A2" s="130"/>
      <c r="B2" s="131"/>
      <c r="C2" s="19"/>
      <c r="D2" s="16"/>
      <c r="E2" s="32"/>
      <c r="F2" s="72"/>
      <c r="G2" s="17"/>
      <c r="H2" s="73"/>
      <c r="I2" s="132"/>
      <c r="J2" s="132"/>
      <c r="K2" s="132"/>
      <c r="L2" s="132"/>
      <c r="M2" s="133"/>
    </row>
    <row r="3" spans="1:13" ht="18" customHeight="1" x14ac:dyDescent="0.25">
      <c r="A3" s="136"/>
      <c r="B3" s="137"/>
      <c r="C3" s="74"/>
      <c r="D3" s="75"/>
      <c r="E3" s="135" t="s">
        <v>22</v>
      </c>
      <c r="F3" s="135"/>
      <c r="G3" s="30" t="s">
        <v>21</v>
      </c>
      <c r="H3" s="30" t="s">
        <v>20</v>
      </c>
      <c r="I3" s="67"/>
      <c r="J3" s="76"/>
      <c r="K3" s="76"/>
      <c r="L3" s="76"/>
      <c r="M3" s="23"/>
    </row>
    <row r="4" spans="1:13" ht="23.25" x14ac:dyDescent="0.35">
      <c r="A4" s="121"/>
      <c r="B4" s="122"/>
      <c r="C4" s="77"/>
      <c r="D4" s="78"/>
      <c r="E4" s="127">
        <f ca="1">TODAY()</f>
        <v>46316</v>
      </c>
      <c r="F4" s="127"/>
      <c r="G4" s="31" t="s">
        <v>183</v>
      </c>
      <c r="H4" s="18" t="s">
        <v>182</v>
      </c>
      <c r="I4" s="79"/>
      <c r="J4" s="79"/>
      <c r="K4" s="79"/>
      <c r="L4" s="79"/>
      <c r="M4" s="24"/>
    </row>
    <row r="5" spans="1:13" ht="7.5" customHeight="1" x14ac:dyDescent="0.25">
      <c r="A5" s="123"/>
      <c r="B5" s="124"/>
      <c r="C5" s="80"/>
      <c r="D5" s="81"/>
      <c r="E5" s="82"/>
      <c r="F5" s="82"/>
      <c r="G5" s="81"/>
      <c r="H5" s="81"/>
      <c r="I5" s="81"/>
      <c r="J5" s="81"/>
      <c r="K5" s="81"/>
      <c r="L5" s="81"/>
      <c r="M5" s="25"/>
    </row>
    <row r="6" spans="1:13" s="47" customFormat="1" ht="18.75" customHeight="1" x14ac:dyDescent="0.25">
      <c r="A6" s="43"/>
      <c r="B6" s="83"/>
      <c r="C6" s="101" t="s">
        <v>25</v>
      </c>
      <c r="D6" s="101"/>
      <c r="E6" s="84"/>
      <c r="F6" s="101" t="s">
        <v>28</v>
      </c>
      <c r="G6" s="101"/>
      <c r="H6" s="85" t="s">
        <v>29</v>
      </c>
      <c r="I6" s="101" t="s">
        <v>30</v>
      </c>
      <c r="J6" s="101"/>
      <c r="K6" s="101"/>
      <c r="L6" s="101"/>
      <c r="M6" s="46"/>
    </row>
    <row r="7" spans="1:13" s="49" customFormat="1" ht="12.75" customHeight="1" x14ac:dyDescent="0.25">
      <c r="A7" s="44"/>
      <c r="B7" s="86"/>
      <c r="C7" s="102" t="s">
        <v>26</v>
      </c>
      <c r="D7" s="102"/>
      <c r="E7" s="87"/>
      <c r="F7" s="102" t="s">
        <v>31</v>
      </c>
      <c r="G7" s="102"/>
      <c r="H7" s="88" t="s">
        <v>35</v>
      </c>
      <c r="I7" s="103" t="s">
        <v>42</v>
      </c>
      <c r="J7" s="103"/>
      <c r="K7" s="103"/>
      <c r="L7" s="103"/>
      <c r="M7" s="48"/>
    </row>
    <row r="8" spans="1:13" s="49" customFormat="1" ht="12.75" customHeight="1" x14ac:dyDescent="0.25">
      <c r="A8" s="44"/>
      <c r="B8" s="86"/>
      <c r="C8" s="103" t="s">
        <v>43</v>
      </c>
      <c r="D8" s="103"/>
      <c r="E8" s="86"/>
      <c r="F8" s="103" t="s">
        <v>44</v>
      </c>
      <c r="G8" s="103"/>
      <c r="H8" s="89" t="s">
        <v>32</v>
      </c>
      <c r="I8" s="104" t="s">
        <v>33</v>
      </c>
      <c r="J8" s="104"/>
      <c r="K8" s="104"/>
      <c r="L8" s="104"/>
      <c r="M8" s="48"/>
    </row>
    <row r="9" spans="1:13" s="49" customFormat="1" ht="12.75" customHeight="1" x14ac:dyDescent="0.25">
      <c r="A9" s="44"/>
      <c r="B9" s="90"/>
      <c r="C9" s="104" t="s">
        <v>27</v>
      </c>
      <c r="D9" s="104"/>
      <c r="E9" s="91"/>
      <c r="F9" s="104" t="s">
        <v>45</v>
      </c>
      <c r="G9" s="105"/>
      <c r="H9" s="89"/>
      <c r="I9" s="92"/>
      <c r="J9" s="92"/>
      <c r="K9" s="92"/>
      <c r="L9" s="92"/>
      <c r="M9" s="48"/>
    </row>
    <row r="10" spans="1:13" s="47" customFormat="1" ht="21.75" customHeight="1" x14ac:dyDescent="0.25">
      <c r="A10" s="44"/>
      <c r="B10" s="45"/>
      <c r="C10" s="101" t="s">
        <v>36</v>
      </c>
      <c r="D10" s="101"/>
      <c r="E10" s="93"/>
      <c r="F10" s="101" t="s">
        <v>38</v>
      </c>
      <c r="G10" s="101"/>
      <c r="H10" s="85" t="s">
        <v>13</v>
      </c>
      <c r="I10" s="85"/>
      <c r="J10" s="94"/>
      <c r="K10" s="94"/>
      <c r="L10" s="94"/>
      <c r="M10" s="46"/>
    </row>
    <row r="11" spans="1:13" s="47" customFormat="1" ht="12.75" customHeight="1" x14ac:dyDescent="0.25">
      <c r="A11" s="44"/>
      <c r="B11" s="45"/>
      <c r="C11" s="102" t="s">
        <v>41</v>
      </c>
      <c r="D11" s="102"/>
      <c r="E11" s="93"/>
      <c r="F11" s="102" t="s">
        <v>40</v>
      </c>
      <c r="G11" s="102"/>
      <c r="H11" s="95" t="s">
        <v>14</v>
      </c>
      <c r="I11" s="95"/>
      <c r="J11" s="94"/>
      <c r="K11" s="94"/>
      <c r="L11" s="94"/>
      <c r="M11" s="46"/>
    </row>
    <row r="12" spans="1:13" s="47" customFormat="1" ht="12.75" customHeight="1" x14ac:dyDescent="0.25">
      <c r="A12" s="44"/>
      <c r="B12" s="45"/>
      <c r="C12" s="103" t="s">
        <v>37</v>
      </c>
      <c r="D12" s="103"/>
      <c r="E12" s="93"/>
      <c r="F12" s="103" t="s">
        <v>39</v>
      </c>
      <c r="G12" s="103"/>
      <c r="H12" s="88" t="s">
        <v>34</v>
      </c>
      <c r="I12" s="96"/>
      <c r="J12" s="94"/>
      <c r="K12" s="94"/>
      <c r="L12" s="94"/>
      <c r="M12" s="46"/>
    </row>
    <row r="13" spans="1:13" s="47" customFormat="1" ht="9" customHeight="1" thickBot="1" x14ac:dyDescent="0.3">
      <c r="A13" s="97"/>
      <c r="B13" s="42"/>
      <c r="C13" s="20"/>
      <c r="D13" s="98"/>
      <c r="E13" s="99"/>
      <c r="F13" s="99"/>
      <c r="G13" s="98"/>
      <c r="H13" s="98"/>
      <c r="I13" s="98"/>
      <c r="J13" s="98"/>
      <c r="K13" s="98"/>
      <c r="L13" s="98"/>
      <c r="M13" s="100"/>
    </row>
    <row r="14" spans="1:13" ht="22.5" customHeight="1" thickBot="1" x14ac:dyDescent="0.3">
      <c r="A14" s="39"/>
      <c r="B14" s="40"/>
      <c r="C14" s="40"/>
      <c r="D14" s="110" t="s">
        <v>47</v>
      </c>
      <c r="E14" s="110"/>
      <c r="F14" s="110"/>
      <c r="G14" s="110"/>
      <c r="H14" s="110"/>
      <c r="I14" s="110"/>
      <c r="J14" s="110"/>
      <c r="K14" s="40"/>
      <c r="L14" s="40"/>
      <c r="M14" s="41"/>
    </row>
    <row r="15" spans="1:13" s="47" customFormat="1" ht="15.75" customHeight="1" x14ac:dyDescent="0.25">
      <c r="A15" s="59"/>
      <c r="B15" s="64" t="s">
        <v>48</v>
      </c>
      <c r="C15" s="65"/>
      <c r="D15" s="64"/>
      <c r="E15" s="66"/>
      <c r="F15" s="66"/>
      <c r="G15" s="64"/>
      <c r="H15" s="147" t="s">
        <v>49</v>
      </c>
      <c r="I15" s="147"/>
      <c r="J15" s="147"/>
      <c r="K15" s="147"/>
      <c r="L15" s="147"/>
      <c r="M15" s="148"/>
    </row>
    <row r="16" spans="1:13" ht="78.75" customHeight="1" thickBot="1" x14ac:dyDescent="0.3">
      <c r="A16" s="60"/>
      <c r="B16" s="61"/>
      <c r="C16" s="20"/>
      <c r="D16" s="61"/>
      <c r="E16" s="62"/>
      <c r="F16" s="62"/>
      <c r="G16" s="63"/>
      <c r="H16" s="149"/>
      <c r="I16" s="149"/>
      <c r="J16" s="149"/>
      <c r="K16" s="149"/>
      <c r="L16" s="149"/>
      <c r="M16" s="150"/>
    </row>
    <row r="17" spans="1:13" s="47" customFormat="1" ht="30" customHeight="1" thickBot="1" x14ac:dyDescent="0.3">
      <c r="A17" s="141" t="s">
        <v>46</v>
      </c>
      <c r="B17" s="142"/>
      <c r="C17" s="142"/>
      <c r="D17" s="142"/>
      <c r="E17" s="142"/>
      <c r="F17" s="142"/>
      <c r="G17" s="142"/>
      <c r="H17" s="142"/>
      <c r="I17" s="142"/>
      <c r="J17" s="142"/>
      <c r="K17" s="142"/>
      <c r="L17" s="142"/>
      <c r="M17" s="143"/>
    </row>
    <row r="18" spans="1:13" s="47" customFormat="1" ht="30" customHeight="1" thickBot="1" x14ac:dyDescent="0.3">
      <c r="A18" s="144" t="s">
        <v>52</v>
      </c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6"/>
    </row>
    <row r="19" spans="1:13" ht="67.5" customHeight="1" thickBot="1" x14ac:dyDescent="0.3">
      <c r="A19" s="138" t="s">
        <v>51</v>
      </c>
      <c r="B19" s="139"/>
      <c r="C19" s="139"/>
      <c r="D19" s="139"/>
      <c r="E19" s="139"/>
      <c r="F19" s="139"/>
      <c r="G19" s="139"/>
      <c r="H19" s="139"/>
      <c r="I19" s="139"/>
      <c r="J19" s="139"/>
      <c r="K19" s="139"/>
      <c r="L19" s="139"/>
      <c r="M19" s="140"/>
    </row>
    <row r="20" spans="1:13" ht="4.5" customHeight="1" thickBot="1" x14ac:dyDescent="0.3">
      <c r="A20" s="50"/>
      <c r="B20" s="51"/>
      <c r="C20" s="52"/>
      <c r="D20" s="52"/>
      <c r="E20" s="53"/>
      <c r="F20" s="53"/>
      <c r="G20" s="52"/>
      <c r="H20" s="52"/>
      <c r="I20" s="54"/>
      <c r="J20" s="54"/>
      <c r="K20" s="55"/>
      <c r="L20" s="55"/>
      <c r="M20" s="56"/>
    </row>
    <row r="21" spans="1:13" ht="22.5" customHeight="1" thickBot="1" x14ac:dyDescent="0.3">
      <c r="A21" s="39"/>
      <c r="B21" s="40"/>
      <c r="C21" s="40"/>
      <c r="D21" s="110" t="s">
        <v>9</v>
      </c>
      <c r="E21" s="110"/>
      <c r="F21" s="110"/>
      <c r="G21" s="110"/>
      <c r="H21" s="110"/>
      <c r="I21" s="110"/>
      <c r="J21" s="110"/>
      <c r="K21" s="40"/>
      <c r="L21" s="40"/>
      <c r="M21" s="41"/>
    </row>
    <row r="22" spans="1:13" ht="18" customHeight="1" x14ac:dyDescent="0.25">
      <c r="A22" s="125" t="s">
        <v>5</v>
      </c>
      <c r="B22" s="114" t="s">
        <v>0</v>
      </c>
      <c r="C22" s="115"/>
      <c r="D22" s="116" t="s">
        <v>11</v>
      </c>
      <c r="E22" s="151" t="s">
        <v>6</v>
      </c>
      <c r="F22" s="152"/>
      <c r="G22" s="116" t="s">
        <v>18</v>
      </c>
      <c r="H22" s="116" t="s">
        <v>7</v>
      </c>
      <c r="I22" s="111" t="s">
        <v>3</v>
      </c>
      <c r="J22" s="112"/>
      <c r="K22" s="113" t="s">
        <v>4</v>
      </c>
      <c r="L22" s="112"/>
      <c r="M22" s="106" t="s">
        <v>15</v>
      </c>
    </row>
    <row r="23" spans="1:13" ht="18" customHeight="1" x14ac:dyDescent="0.25">
      <c r="A23" s="126"/>
      <c r="B23" s="8" t="s">
        <v>1</v>
      </c>
      <c r="C23" s="8" t="s">
        <v>2</v>
      </c>
      <c r="D23" s="117"/>
      <c r="E23" s="33" t="s">
        <v>1</v>
      </c>
      <c r="F23" s="33" t="s">
        <v>2</v>
      </c>
      <c r="G23" s="117"/>
      <c r="H23" s="117"/>
      <c r="I23" s="14" t="s">
        <v>8</v>
      </c>
      <c r="J23" s="15" t="s">
        <v>17</v>
      </c>
      <c r="K23" s="15" t="s">
        <v>8</v>
      </c>
      <c r="L23" s="15" t="s">
        <v>17</v>
      </c>
      <c r="M23" s="107"/>
    </row>
    <row r="24" spans="1:13" ht="30" x14ac:dyDescent="0.25">
      <c r="A24" s="26" cm="1">
        <f t="array" aca="1" ref="A24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1</v>
      </c>
      <c r="B24" s="11" t="s">
        <v>53</v>
      </c>
      <c r="C24" s="10" t="s">
        <v>53</v>
      </c>
      <c r="D24" s="10" t="s">
        <v>54</v>
      </c>
      <c r="E24" s="34" t="s">
        <v>55</v>
      </c>
      <c r="F24" s="34" t="s">
        <v>56</v>
      </c>
      <c r="G24" s="10" t="s">
        <v>57</v>
      </c>
      <c r="H24" s="10" t="s">
        <v>58</v>
      </c>
      <c r="I24" s="12">
        <v>0.66666666666666663</v>
      </c>
      <c r="J24" s="12">
        <v>0.83333333333333337</v>
      </c>
      <c r="K24" s="13">
        <v>46317</v>
      </c>
      <c r="L24" s="13">
        <v>46317</v>
      </c>
      <c r="M24" s="27" t="s">
        <v>59</v>
      </c>
    </row>
    <row r="25" spans="1:13" ht="30" x14ac:dyDescent="0.25">
      <c r="A25" s="26" cm="1">
        <f t="array" aca="1" ref="A25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2</v>
      </c>
      <c r="B25" s="38" t="s">
        <v>53</v>
      </c>
      <c r="C25" s="10" t="s">
        <v>60</v>
      </c>
      <c r="D25" s="10" t="s">
        <v>54</v>
      </c>
      <c r="E25" s="34" t="s">
        <v>61</v>
      </c>
      <c r="F25" s="34" t="s">
        <v>62</v>
      </c>
      <c r="G25" s="10" t="s">
        <v>63</v>
      </c>
      <c r="H25" s="10" t="s">
        <v>64</v>
      </c>
      <c r="I25" s="12">
        <v>0</v>
      </c>
      <c r="J25" s="12">
        <v>0.99930555555555556</v>
      </c>
      <c r="K25" s="13">
        <v>46275</v>
      </c>
      <c r="L25" s="13" t="s">
        <v>65</v>
      </c>
      <c r="M25" s="27" t="s">
        <v>66</v>
      </c>
    </row>
    <row r="26" spans="1:13" ht="30" x14ac:dyDescent="0.25">
      <c r="A26" s="26" cm="1">
        <f t="array" aca="1" ref="A26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3</v>
      </c>
      <c r="B26" s="11" t="s">
        <v>53</v>
      </c>
      <c r="C26" s="10" t="s">
        <v>60</v>
      </c>
      <c r="D26" s="10" t="s">
        <v>67</v>
      </c>
      <c r="E26" s="34" t="s">
        <v>68</v>
      </c>
      <c r="F26" s="34" t="s">
        <v>69</v>
      </c>
      <c r="G26" s="10" t="s">
        <v>70</v>
      </c>
      <c r="H26" s="10" t="s">
        <v>71</v>
      </c>
      <c r="I26" s="12">
        <v>0</v>
      </c>
      <c r="J26" s="12">
        <v>0.99930555555555556</v>
      </c>
      <c r="K26" s="13">
        <v>45869</v>
      </c>
      <c r="L26" s="13" t="s">
        <v>65</v>
      </c>
      <c r="M26" s="27" t="s">
        <v>72</v>
      </c>
    </row>
    <row r="27" spans="1:13" ht="30" x14ac:dyDescent="0.25">
      <c r="A27" s="26" cm="1">
        <f t="array" aca="1" ref="A27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4</v>
      </c>
      <c r="B27" s="11" t="s">
        <v>53</v>
      </c>
      <c r="C27" s="10" t="s">
        <v>60</v>
      </c>
      <c r="D27" s="10" t="s">
        <v>54</v>
      </c>
      <c r="E27" s="34" t="s">
        <v>73</v>
      </c>
      <c r="F27" s="34" t="s">
        <v>74</v>
      </c>
      <c r="G27" s="10" t="s">
        <v>63</v>
      </c>
      <c r="H27" s="10" t="s">
        <v>64</v>
      </c>
      <c r="I27" s="12">
        <v>0</v>
      </c>
      <c r="J27" s="12">
        <v>0.99930555555555556</v>
      </c>
      <c r="K27" s="13">
        <v>46275</v>
      </c>
      <c r="L27" s="13" t="s">
        <v>65</v>
      </c>
      <c r="M27" s="27" t="s">
        <v>66</v>
      </c>
    </row>
    <row r="28" spans="1:13" ht="30" x14ac:dyDescent="0.25">
      <c r="A28" s="26" cm="1">
        <f t="array" aca="1" ref="A28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5</v>
      </c>
      <c r="B28" s="11" t="s">
        <v>60</v>
      </c>
      <c r="C28" s="10" t="s">
        <v>60</v>
      </c>
      <c r="D28" s="10" t="s">
        <v>75</v>
      </c>
      <c r="E28" s="34" t="s">
        <v>76</v>
      </c>
      <c r="F28" s="34" t="s">
        <v>74</v>
      </c>
      <c r="G28" s="10" t="s">
        <v>77</v>
      </c>
      <c r="H28" s="10" t="s">
        <v>78</v>
      </c>
      <c r="I28" s="12">
        <v>0</v>
      </c>
      <c r="J28" s="12">
        <v>0.99930555555555556</v>
      </c>
      <c r="K28" s="13">
        <v>43999</v>
      </c>
      <c r="L28" s="13" t="s">
        <v>65</v>
      </c>
      <c r="M28" s="27" t="s">
        <v>79</v>
      </c>
    </row>
    <row r="29" spans="1:13" ht="45" x14ac:dyDescent="0.25">
      <c r="A29" s="26" cm="1">
        <f t="array" aca="1" ref="A29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6</v>
      </c>
      <c r="B29" s="11" t="s">
        <v>60</v>
      </c>
      <c r="C29" s="10" t="s">
        <v>60</v>
      </c>
      <c r="D29" s="10" t="s">
        <v>80</v>
      </c>
      <c r="E29" s="34" t="s">
        <v>81</v>
      </c>
      <c r="F29" s="34" t="s">
        <v>82</v>
      </c>
      <c r="G29" s="10" t="s">
        <v>83</v>
      </c>
      <c r="H29" s="10" t="s">
        <v>84</v>
      </c>
      <c r="I29" s="12">
        <v>0</v>
      </c>
      <c r="J29" s="12">
        <v>0.99930555555555556</v>
      </c>
      <c r="K29" s="13">
        <v>45294</v>
      </c>
      <c r="L29" s="13" t="s">
        <v>65</v>
      </c>
      <c r="M29" s="27" t="s">
        <v>85</v>
      </c>
    </row>
    <row r="30" spans="1:13" ht="45" x14ac:dyDescent="0.25">
      <c r="A30" s="26" cm="1">
        <f t="array" aca="1" ref="A30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7</v>
      </c>
      <c r="B30" s="11" t="s">
        <v>60</v>
      </c>
      <c r="C30" s="10" t="s">
        <v>60</v>
      </c>
      <c r="D30" s="10" t="s">
        <v>86</v>
      </c>
      <c r="E30" s="34" t="s">
        <v>87</v>
      </c>
      <c r="F30" s="34" t="s">
        <v>88</v>
      </c>
      <c r="G30" s="10" t="s">
        <v>65</v>
      </c>
      <c r="H30" s="10" t="s">
        <v>89</v>
      </c>
      <c r="I30" s="12">
        <v>0</v>
      </c>
      <c r="J30" s="12">
        <v>0.99930555555555556</v>
      </c>
      <c r="K30" s="13">
        <v>46287</v>
      </c>
      <c r="L30" s="13" t="s">
        <v>65</v>
      </c>
      <c r="M30" s="27" t="s">
        <v>72</v>
      </c>
    </row>
    <row r="31" spans="1:13" ht="30" x14ac:dyDescent="0.25">
      <c r="A31" s="26" cm="1">
        <f t="array" aca="1" ref="A31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8</v>
      </c>
      <c r="B31" s="11" t="s">
        <v>60</v>
      </c>
      <c r="C31" s="10" t="s">
        <v>90</v>
      </c>
      <c r="D31" s="10" t="s">
        <v>67</v>
      </c>
      <c r="E31" s="34" t="s">
        <v>91</v>
      </c>
      <c r="F31" s="34" t="s">
        <v>92</v>
      </c>
      <c r="G31" s="10" t="s">
        <v>93</v>
      </c>
      <c r="H31" s="10" t="s">
        <v>94</v>
      </c>
      <c r="I31" s="12">
        <v>0</v>
      </c>
      <c r="J31" s="12">
        <v>0.99930555555555556</v>
      </c>
      <c r="K31" s="13">
        <v>46254</v>
      </c>
      <c r="L31" s="13" t="s">
        <v>65</v>
      </c>
      <c r="M31" s="27" t="s">
        <v>95</v>
      </c>
    </row>
    <row r="32" spans="1:13" ht="30" x14ac:dyDescent="0.25">
      <c r="A32" s="26" cm="1">
        <f t="array" aca="1" ref="A32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9</v>
      </c>
      <c r="B32" s="11" t="s">
        <v>60</v>
      </c>
      <c r="C32" s="10" t="s">
        <v>90</v>
      </c>
      <c r="D32" s="10" t="s">
        <v>54</v>
      </c>
      <c r="E32" s="34" t="s">
        <v>96</v>
      </c>
      <c r="F32" s="34" t="s">
        <v>97</v>
      </c>
      <c r="G32" s="10" t="s">
        <v>63</v>
      </c>
      <c r="H32" s="10" t="s">
        <v>64</v>
      </c>
      <c r="I32" s="12">
        <v>0</v>
      </c>
      <c r="J32" s="12">
        <v>0.99930555555555556</v>
      </c>
      <c r="K32" s="13">
        <v>46275</v>
      </c>
      <c r="L32" s="13" t="s">
        <v>65</v>
      </c>
      <c r="M32" s="27" t="s">
        <v>66</v>
      </c>
    </row>
    <row r="33" spans="1:13" ht="60" x14ac:dyDescent="0.25">
      <c r="A33" s="26" cm="1">
        <f t="array" aca="1" ref="A33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10</v>
      </c>
      <c r="B33" s="11" t="s">
        <v>90</v>
      </c>
      <c r="C33" s="10" t="s">
        <v>90</v>
      </c>
      <c r="D33" s="10" t="s">
        <v>80</v>
      </c>
      <c r="E33" s="34" t="s">
        <v>98</v>
      </c>
      <c r="F33" s="34" t="s">
        <v>99</v>
      </c>
      <c r="G33" s="10" t="s">
        <v>83</v>
      </c>
      <c r="H33" s="10" t="s">
        <v>100</v>
      </c>
      <c r="I33" s="12">
        <v>0</v>
      </c>
      <c r="J33" s="12">
        <v>0.99930555555555556</v>
      </c>
      <c r="K33" s="13">
        <v>45064</v>
      </c>
      <c r="L33" s="13" t="s">
        <v>65</v>
      </c>
      <c r="M33" s="27" t="s">
        <v>85</v>
      </c>
    </row>
    <row r="34" spans="1:13" ht="30" x14ac:dyDescent="0.25">
      <c r="A34" s="26" cm="1">
        <f t="array" aca="1" ref="A34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11</v>
      </c>
      <c r="B34" s="11" t="s">
        <v>90</v>
      </c>
      <c r="C34" s="10" t="s">
        <v>101</v>
      </c>
      <c r="D34" s="10" t="s">
        <v>67</v>
      </c>
      <c r="E34" s="34" t="s">
        <v>102</v>
      </c>
      <c r="F34" s="34" t="s">
        <v>103</v>
      </c>
      <c r="G34" s="10" t="s">
        <v>104</v>
      </c>
      <c r="H34" s="10" t="s">
        <v>105</v>
      </c>
      <c r="I34" s="12">
        <v>0.375</v>
      </c>
      <c r="J34" s="12">
        <v>0.54166666666666663</v>
      </c>
      <c r="K34" s="13">
        <v>46317</v>
      </c>
      <c r="L34" s="13">
        <v>46317</v>
      </c>
      <c r="M34" s="27" t="s">
        <v>106</v>
      </c>
    </row>
    <row r="35" spans="1:13" ht="30" x14ac:dyDescent="0.25">
      <c r="A35" s="26" cm="1">
        <f t="array" aca="1" ref="A35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12</v>
      </c>
      <c r="B35" s="11" t="s">
        <v>90</v>
      </c>
      <c r="C35" s="10" t="s">
        <v>101</v>
      </c>
      <c r="D35" s="10" t="s">
        <v>67</v>
      </c>
      <c r="E35" s="34" t="s">
        <v>102</v>
      </c>
      <c r="F35" s="34" t="s">
        <v>103</v>
      </c>
      <c r="G35" s="10" t="s">
        <v>57</v>
      </c>
      <c r="H35" s="10" t="s">
        <v>105</v>
      </c>
      <c r="I35" s="12">
        <v>0.66666666666666663</v>
      </c>
      <c r="J35" s="12">
        <v>0.83333333333333337</v>
      </c>
      <c r="K35" s="13">
        <v>46317</v>
      </c>
      <c r="L35" s="13">
        <v>46317</v>
      </c>
      <c r="M35" s="27" t="s">
        <v>106</v>
      </c>
    </row>
    <row r="36" spans="1:13" ht="30" x14ac:dyDescent="0.25">
      <c r="A36" s="26" cm="1">
        <f t="array" aca="1" ref="A36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13</v>
      </c>
      <c r="B36" s="11" t="s">
        <v>90</v>
      </c>
      <c r="C36" s="10" t="s">
        <v>90</v>
      </c>
      <c r="D36" s="10" t="s">
        <v>54</v>
      </c>
      <c r="E36" s="34" t="s">
        <v>107</v>
      </c>
      <c r="F36" s="34" t="s">
        <v>108</v>
      </c>
      <c r="G36" s="10" t="s">
        <v>109</v>
      </c>
      <c r="H36" s="10" t="s">
        <v>110</v>
      </c>
      <c r="I36" s="12">
        <v>0</v>
      </c>
      <c r="J36" s="12">
        <v>0.99930555555555556</v>
      </c>
      <c r="K36" s="13">
        <v>46275</v>
      </c>
      <c r="L36" s="13" t="s">
        <v>65</v>
      </c>
      <c r="M36" s="27" t="s">
        <v>79</v>
      </c>
    </row>
    <row r="37" spans="1:13" ht="30" x14ac:dyDescent="0.25">
      <c r="A37" s="26" cm="1">
        <f t="array" aca="1" ref="A37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14</v>
      </c>
      <c r="B37" s="11" t="s">
        <v>90</v>
      </c>
      <c r="C37" s="10" t="s">
        <v>90</v>
      </c>
      <c r="D37" s="10" t="s">
        <v>54</v>
      </c>
      <c r="E37" s="34" t="s">
        <v>111</v>
      </c>
      <c r="F37" s="34" t="s">
        <v>112</v>
      </c>
      <c r="G37" s="10" t="s">
        <v>113</v>
      </c>
      <c r="H37" s="10" t="s">
        <v>114</v>
      </c>
      <c r="I37" s="12">
        <v>0</v>
      </c>
      <c r="J37" s="12">
        <v>0.99930555555555556</v>
      </c>
      <c r="K37" s="13">
        <v>46274</v>
      </c>
      <c r="L37" s="13" t="s">
        <v>65</v>
      </c>
      <c r="M37" s="27" t="s">
        <v>66</v>
      </c>
    </row>
    <row r="38" spans="1:13" ht="45" x14ac:dyDescent="0.25">
      <c r="A38" s="26" cm="1">
        <f t="array" aca="1" ref="A38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15</v>
      </c>
      <c r="B38" s="11" t="s">
        <v>101</v>
      </c>
      <c r="C38" s="10" t="s">
        <v>101</v>
      </c>
      <c r="D38" s="10" t="s">
        <v>80</v>
      </c>
      <c r="E38" s="34" t="s">
        <v>115</v>
      </c>
      <c r="F38" s="34" t="s">
        <v>116</v>
      </c>
      <c r="G38" s="10" t="s">
        <v>83</v>
      </c>
      <c r="H38" s="10" t="s">
        <v>117</v>
      </c>
      <c r="I38" s="12">
        <v>0</v>
      </c>
      <c r="J38" s="12">
        <v>0.99930555555555556</v>
      </c>
      <c r="K38" s="13">
        <v>45294</v>
      </c>
      <c r="L38" s="13" t="s">
        <v>65</v>
      </c>
      <c r="M38" s="27" t="s">
        <v>85</v>
      </c>
    </row>
    <row r="39" spans="1:13" ht="30" x14ac:dyDescent="0.25">
      <c r="A39" s="26" cm="1">
        <f t="array" aca="1" ref="A39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16</v>
      </c>
      <c r="B39" s="11" t="s">
        <v>101</v>
      </c>
      <c r="C39" s="10" t="s">
        <v>118</v>
      </c>
      <c r="D39" s="10" t="s">
        <v>67</v>
      </c>
      <c r="E39" s="34" t="s">
        <v>119</v>
      </c>
      <c r="F39" s="34" t="s">
        <v>120</v>
      </c>
      <c r="G39" s="10" t="s">
        <v>93</v>
      </c>
      <c r="H39" s="10" t="s">
        <v>94</v>
      </c>
      <c r="I39" s="12">
        <v>0</v>
      </c>
      <c r="J39" s="12">
        <v>0.99930555555555556</v>
      </c>
      <c r="K39" s="13">
        <v>44524</v>
      </c>
      <c r="L39" s="13" t="s">
        <v>65</v>
      </c>
      <c r="M39" s="27" t="s">
        <v>85</v>
      </c>
    </row>
    <row r="40" spans="1:13" x14ac:dyDescent="0.25">
      <c r="A40" s="26" cm="1">
        <f t="array" aca="1" ref="A40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17</v>
      </c>
      <c r="B40" s="11" t="s">
        <v>118</v>
      </c>
      <c r="C40" s="10" t="s">
        <v>118</v>
      </c>
      <c r="D40" s="10" t="s">
        <v>86</v>
      </c>
      <c r="E40" s="34" t="s">
        <v>121</v>
      </c>
      <c r="F40" s="34" t="s">
        <v>122</v>
      </c>
      <c r="G40" s="10" t="s">
        <v>123</v>
      </c>
      <c r="H40" s="10" t="s">
        <v>123</v>
      </c>
      <c r="I40" s="12">
        <v>0</v>
      </c>
      <c r="J40" s="12">
        <v>0.99930555555555556</v>
      </c>
      <c r="K40" s="13">
        <v>41604</v>
      </c>
      <c r="L40" s="13" t="s">
        <v>65</v>
      </c>
      <c r="M40" s="27" t="s">
        <v>124</v>
      </c>
    </row>
    <row r="41" spans="1:13" x14ac:dyDescent="0.25">
      <c r="A41" s="26" cm="1">
        <f t="array" aca="1" ref="A41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18</v>
      </c>
      <c r="B41" s="11" t="s">
        <v>118</v>
      </c>
      <c r="C41" s="10" t="s">
        <v>118</v>
      </c>
      <c r="D41" s="10" t="s">
        <v>125</v>
      </c>
      <c r="E41" s="34" t="s">
        <v>126</v>
      </c>
      <c r="F41" s="34" t="s">
        <v>127</v>
      </c>
      <c r="G41" s="10" t="s">
        <v>77</v>
      </c>
      <c r="H41" s="10" t="s">
        <v>128</v>
      </c>
      <c r="I41" s="12">
        <v>0</v>
      </c>
      <c r="J41" s="12">
        <v>0.99930555555555556</v>
      </c>
      <c r="K41" s="13">
        <v>43091</v>
      </c>
      <c r="L41" s="13" t="s">
        <v>65</v>
      </c>
      <c r="M41" s="27" t="s">
        <v>129</v>
      </c>
    </row>
    <row r="42" spans="1:13" ht="30" x14ac:dyDescent="0.25">
      <c r="A42" s="26" cm="1">
        <f t="array" aca="1" ref="A42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19</v>
      </c>
      <c r="B42" s="11" t="s">
        <v>118</v>
      </c>
      <c r="C42" s="10" t="s">
        <v>130</v>
      </c>
      <c r="D42" s="10" t="s">
        <v>54</v>
      </c>
      <c r="E42" s="34" t="s">
        <v>131</v>
      </c>
      <c r="F42" s="34" t="s">
        <v>132</v>
      </c>
      <c r="G42" s="10" t="s">
        <v>63</v>
      </c>
      <c r="H42" s="10" t="s">
        <v>133</v>
      </c>
      <c r="I42" s="12">
        <v>0</v>
      </c>
      <c r="J42" s="12">
        <v>0.99930555555555556</v>
      </c>
      <c r="K42" s="13">
        <v>46275</v>
      </c>
      <c r="L42" s="13" t="s">
        <v>65</v>
      </c>
      <c r="M42" s="27" t="s">
        <v>66</v>
      </c>
    </row>
    <row r="43" spans="1:13" ht="30" x14ac:dyDescent="0.25">
      <c r="A43" s="26" cm="1">
        <f t="array" aca="1" ref="A43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20</v>
      </c>
      <c r="B43" s="11" t="s">
        <v>118</v>
      </c>
      <c r="C43" s="10" t="s">
        <v>130</v>
      </c>
      <c r="D43" s="10" t="s">
        <v>54</v>
      </c>
      <c r="E43" s="34" t="s">
        <v>134</v>
      </c>
      <c r="F43" s="34" t="s">
        <v>135</v>
      </c>
      <c r="G43" s="10" t="s">
        <v>63</v>
      </c>
      <c r="H43" s="10" t="s">
        <v>133</v>
      </c>
      <c r="I43" s="12">
        <v>0</v>
      </c>
      <c r="J43" s="12">
        <v>0.99930555555555556</v>
      </c>
      <c r="K43" s="13">
        <v>46275</v>
      </c>
      <c r="L43" s="13" t="s">
        <v>65</v>
      </c>
      <c r="M43" s="27" t="s">
        <v>66</v>
      </c>
    </row>
    <row r="44" spans="1:13" ht="30.75" thickBot="1" x14ac:dyDescent="0.3">
      <c r="A44" s="26" cm="1">
        <f t="array" aca="1" ref="A44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21</v>
      </c>
      <c r="B44" s="11" t="s">
        <v>118</v>
      </c>
      <c r="C44" s="10" t="s">
        <v>130</v>
      </c>
      <c r="D44" s="10" t="s">
        <v>54</v>
      </c>
      <c r="E44" s="34" t="s">
        <v>136</v>
      </c>
      <c r="F44" s="34" t="s">
        <v>137</v>
      </c>
      <c r="G44" s="10" t="s">
        <v>138</v>
      </c>
      <c r="H44" s="10" t="s">
        <v>139</v>
      </c>
      <c r="I44" s="12">
        <v>0</v>
      </c>
      <c r="J44" s="12">
        <v>0.99930555555555556</v>
      </c>
      <c r="K44" s="13">
        <v>46308</v>
      </c>
      <c r="L44" s="13" t="s">
        <v>65</v>
      </c>
      <c r="M44" s="27" t="s">
        <v>79</v>
      </c>
    </row>
    <row r="45" spans="1:13" ht="22.5" customHeight="1" thickBot="1" x14ac:dyDescent="0.3">
      <c r="A45" s="39"/>
      <c r="B45" s="40"/>
      <c r="C45" s="40"/>
      <c r="D45" s="110" t="s">
        <v>24</v>
      </c>
      <c r="E45" s="110"/>
      <c r="F45" s="110"/>
      <c r="G45" s="110"/>
      <c r="H45" s="110"/>
      <c r="I45" s="110"/>
      <c r="J45" s="110"/>
      <c r="K45" s="40"/>
      <c r="L45" s="40"/>
      <c r="M45" s="41"/>
    </row>
    <row r="46" spans="1:13" ht="18" customHeight="1" x14ac:dyDescent="0.25">
      <c r="A46" s="157" t="s">
        <v>5</v>
      </c>
      <c r="B46" s="155" t="s">
        <v>0</v>
      </c>
      <c r="C46" s="156"/>
      <c r="D46" s="153" t="s">
        <v>12</v>
      </c>
      <c r="E46" s="151" t="s">
        <v>6</v>
      </c>
      <c r="F46" s="152"/>
      <c r="G46" s="153" t="s">
        <v>19</v>
      </c>
      <c r="H46" s="153" t="s">
        <v>16</v>
      </c>
      <c r="I46" s="163" t="s">
        <v>3</v>
      </c>
      <c r="J46" s="164"/>
      <c r="K46" s="161" t="s">
        <v>4</v>
      </c>
      <c r="L46" s="162"/>
      <c r="M46" s="159" t="s">
        <v>10</v>
      </c>
    </row>
    <row r="47" spans="1:13" ht="18" customHeight="1" x14ac:dyDescent="0.25">
      <c r="A47" s="158"/>
      <c r="B47" s="7" t="s">
        <v>1</v>
      </c>
      <c r="C47" s="9" t="s">
        <v>2</v>
      </c>
      <c r="D47" s="154"/>
      <c r="E47" s="33" t="s">
        <v>1</v>
      </c>
      <c r="F47" s="33" t="s">
        <v>2</v>
      </c>
      <c r="G47" s="154"/>
      <c r="H47" s="154"/>
      <c r="I47" s="14" t="s">
        <v>8</v>
      </c>
      <c r="J47" s="15" t="s">
        <v>17</v>
      </c>
      <c r="K47" s="15" t="s">
        <v>8</v>
      </c>
      <c r="L47" s="15" t="s">
        <v>17</v>
      </c>
      <c r="M47" s="160"/>
    </row>
    <row r="48" spans="1:13" ht="45" x14ac:dyDescent="0.25">
      <c r="A48" s="26" cm="1">
        <f t="array" aca="1" ref="A48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22</v>
      </c>
      <c r="B48" s="11" t="s">
        <v>53</v>
      </c>
      <c r="C48" s="10" t="s">
        <v>118</v>
      </c>
      <c r="D48" s="10" t="s">
        <v>140</v>
      </c>
      <c r="E48" s="34" t="s">
        <v>141</v>
      </c>
      <c r="F48" s="34" t="s">
        <v>142</v>
      </c>
      <c r="G48" s="10" t="s">
        <v>143</v>
      </c>
      <c r="H48" s="10" t="s">
        <v>144</v>
      </c>
      <c r="I48" s="37">
        <v>0.66666666666666663</v>
      </c>
      <c r="J48" s="37">
        <v>0.83333333333333337</v>
      </c>
      <c r="K48" s="13">
        <v>46317</v>
      </c>
      <c r="L48" s="13">
        <v>46317</v>
      </c>
      <c r="M48" s="27" t="s">
        <v>145</v>
      </c>
    </row>
    <row r="49" spans="1:13" ht="30" x14ac:dyDescent="0.25">
      <c r="A49" s="26" cm="1">
        <f t="array" aca="1" ref="A49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23</v>
      </c>
      <c r="B49" s="11" t="s">
        <v>53</v>
      </c>
      <c r="C49" s="10" t="s">
        <v>60</v>
      </c>
      <c r="D49" s="10" t="s">
        <v>146</v>
      </c>
      <c r="E49" s="34" t="s">
        <v>147</v>
      </c>
      <c r="F49" s="34" t="s">
        <v>148</v>
      </c>
      <c r="G49" s="10" t="s">
        <v>143</v>
      </c>
      <c r="H49" s="10" t="s">
        <v>149</v>
      </c>
      <c r="I49" s="37">
        <v>0.66666666666666663</v>
      </c>
      <c r="J49" s="37">
        <v>0.83333333333333337</v>
      </c>
      <c r="K49" s="13">
        <v>46317</v>
      </c>
      <c r="L49" s="13">
        <v>46317</v>
      </c>
      <c r="M49" s="27" t="s">
        <v>145</v>
      </c>
    </row>
    <row r="50" spans="1:13" ht="30" x14ac:dyDescent="0.25">
      <c r="A50" s="26" cm="1">
        <f t="array" aca="1" ref="A50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24</v>
      </c>
      <c r="B50" s="11" t="s">
        <v>53</v>
      </c>
      <c r="C50" s="10" t="s">
        <v>60</v>
      </c>
      <c r="D50" s="10" t="s">
        <v>67</v>
      </c>
      <c r="E50" s="34" t="s">
        <v>150</v>
      </c>
      <c r="F50" s="34" t="s">
        <v>68</v>
      </c>
      <c r="G50" s="10" t="s">
        <v>143</v>
      </c>
      <c r="H50" s="10" t="s">
        <v>151</v>
      </c>
      <c r="I50" s="37">
        <v>0.66666666666666663</v>
      </c>
      <c r="J50" s="37">
        <v>0.75</v>
      </c>
      <c r="K50" s="13">
        <v>46317</v>
      </c>
      <c r="L50" s="13">
        <v>46317</v>
      </c>
      <c r="M50" s="27" t="s">
        <v>152</v>
      </c>
    </row>
    <row r="51" spans="1:13" ht="30" x14ac:dyDescent="0.25">
      <c r="A51" s="26" cm="1">
        <f t="array" aca="1" ref="A51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25</v>
      </c>
      <c r="B51" s="11" t="s">
        <v>53</v>
      </c>
      <c r="C51" s="10" t="s">
        <v>60</v>
      </c>
      <c r="D51" s="10" t="s">
        <v>67</v>
      </c>
      <c r="E51" s="34" t="s">
        <v>68</v>
      </c>
      <c r="F51" s="34" t="s">
        <v>153</v>
      </c>
      <c r="G51" s="10" t="s">
        <v>143</v>
      </c>
      <c r="H51" s="10" t="s">
        <v>151</v>
      </c>
      <c r="I51" s="37">
        <v>0.75</v>
      </c>
      <c r="J51" s="37">
        <v>0.83333333333333337</v>
      </c>
      <c r="K51" s="13">
        <v>46317</v>
      </c>
      <c r="L51" s="13">
        <v>46317</v>
      </c>
      <c r="M51" s="27" t="s">
        <v>152</v>
      </c>
    </row>
    <row r="52" spans="1:13" ht="30" x14ac:dyDescent="0.25">
      <c r="A52" s="26" cm="1">
        <f t="array" aca="1" ref="A52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26</v>
      </c>
      <c r="B52" s="11" t="s">
        <v>60</v>
      </c>
      <c r="C52" s="10" t="s">
        <v>90</v>
      </c>
      <c r="D52" s="10" t="s">
        <v>146</v>
      </c>
      <c r="E52" s="34" t="s">
        <v>148</v>
      </c>
      <c r="F52" s="34" t="s">
        <v>154</v>
      </c>
      <c r="G52" s="10" t="s">
        <v>143</v>
      </c>
      <c r="H52" s="10" t="s">
        <v>149</v>
      </c>
      <c r="I52" s="37">
        <v>0.66666666666666663</v>
      </c>
      <c r="J52" s="37">
        <v>0.83333333333333337</v>
      </c>
      <c r="K52" s="13">
        <v>46317</v>
      </c>
      <c r="L52" s="13">
        <v>46317</v>
      </c>
      <c r="M52" s="27" t="s">
        <v>145</v>
      </c>
    </row>
    <row r="53" spans="1:13" ht="30" x14ac:dyDescent="0.25">
      <c r="A53" s="26" cm="1">
        <f t="array" aca="1" ref="A53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27</v>
      </c>
      <c r="B53" s="11" t="s">
        <v>90</v>
      </c>
      <c r="C53" s="10" t="s">
        <v>118</v>
      </c>
      <c r="D53" s="10" t="s">
        <v>146</v>
      </c>
      <c r="E53" s="34" t="s">
        <v>154</v>
      </c>
      <c r="F53" s="34" t="s">
        <v>155</v>
      </c>
      <c r="G53" s="10" t="s">
        <v>143</v>
      </c>
      <c r="H53" s="10" t="s">
        <v>149</v>
      </c>
      <c r="I53" s="37">
        <v>0.66666666666666663</v>
      </c>
      <c r="J53" s="37">
        <v>0.83333333333333337</v>
      </c>
      <c r="K53" s="13">
        <v>46317</v>
      </c>
      <c r="L53" s="13">
        <v>46317</v>
      </c>
      <c r="M53" s="27" t="s">
        <v>145</v>
      </c>
    </row>
    <row r="54" spans="1:13" ht="60" x14ac:dyDescent="0.25">
      <c r="A54" s="26" cm="1">
        <f t="array" aca="1" ref="A54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28</v>
      </c>
      <c r="B54" s="11" t="s">
        <v>90</v>
      </c>
      <c r="C54" s="10" t="s">
        <v>101</v>
      </c>
      <c r="D54" s="10" t="s">
        <v>67</v>
      </c>
      <c r="E54" s="34" t="s">
        <v>102</v>
      </c>
      <c r="F54" s="34" t="s">
        <v>103</v>
      </c>
      <c r="G54" s="10" t="s">
        <v>143</v>
      </c>
      <c r="H54" s="10" t="s">
        <v>156</v>
      </c>
      <c r="I54" s="37">
        <v>0.66666666666666663</v>
      </c>
      <c r="J54" s="37">
        <v>0.83333333333333337</v>
      </c>
      <c r="K54" s="13">
        <v>46317</v>
      </c>
      <c r="L54" s="13">
        <v>46317</v>
      </c>
      <c r="M54" s="27" t="s">
        <v>157</v>
      </c>
    </row>
    <row r="55" spans="1:13" ht="30" x14ac:dyDescent="0.25">
      <c r="A55" s="26" cm="1">
        <f t="array" aca="1" ref="A55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29</v>
      </c>
      <c r="B55" s="11" t="s">
        <v>101</v>
      </c>
      <c r="C55" s="10" t="s">
        <v>118</v>
      </c>
      <c r="D55" s="10" t="s">
        <v>146</v>
      </c>
      <c r="E55" s="34" t="s">
        <v>155</v>
      </c>
      <c r="F55" s="34" t="s">
        <v>158</v>
      </c>
      <c r="G55" s="10" t="s">
        <v>143</v>
      </c>
      <c r="H55" s="10" t="s">
        <v>159</v>
      </c>
      <c r="I55" s="37">
        <v>0.66666666666666663</v>
      </c>
      <c r="J55" s="37">
        <v>0.83333333333333337</v>
      </c>
      <c r="K55" s="13">
        <v>46317</v>
      </c>
      <c r="L55" s="13">
        <v>46317</v>
      </c>
      <c r="M55" s="27" t="s">
        <v>145</v>
      </c>
    </row>
    <row r="56" spans="1:13" ht="75" x14ac:dyDescent="0.25">
      <c r="A56" s="26" cm="1">
        <f t="array" aca="1" ref="A56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30</v>
      </c>
      <c r="B56" s="11" t="s">
        <v>118</v>
      </c>
      <c r="C56" s="10" t="s">
        <v>130</v>
      </c>
      <c r="D56" s="10" t="s">
        <v>140</v>
      </c>
      <c r="E56" s="34" t="s">
        <v>160</v>
      </c>
      <c r="F56" s="34" t="s">
        <v>161</v>
      </c>
      <c r="G56" s="10" t="s">
        <v>143</v>
      </c>
      <c r="H56" s="10" t="s">
        <v>162</v>
      </c>
      <c r="I56" s="37">
        <v>0.66666666666666663</v>
      </c>
      <c r="J56" s="37">
        <v>0.83333333333333337</v>
      </c>
      <c r="K56" s="13">
        <v>46317</v>
      </c>
      <c r="L56" s="13">
        <v>46317</v>
      </c>
      <c r="M56" s="27" t="s">
        <v>145</v>
      </c>
    </row>
    <row r="57" spans="1:13" ht="90" x14ac:dyDescent="0.25">
      <c r="A57" s="26" cm="1">
        <f t="array" aca="1" ref="A57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31</v>
      </c>
      <c r="B57" s="11" t="s">
        <v>118</v>
      </c>
      <c r="C57" s="10" t="s">
        <v>130</v>
      </c>
      <c r="D57" s="10" t="s">
        <v>140</v>
      </c>
      <c r="E57" s="34" t="s">
        <v>160</v>
      </c>
      <c r="F57" s="34" t="s">
        <v>161</v>
      </c>
      <c r="G57" s="10" t="s">
        <v>143</v>
      </c>
      <c r="H57" s="10" t="s">
        <v>163</v>
      </c>
      <c r="I57" s="37">
        <v>0.66666666666666663</v>
      </c>
      <c r="J57" s="37">
        <v>0.83333333333333337</v>
      </c>
      <c r="K57" s="13">
        <v>46317</v>
      </c>
      <c r="L57" s="13">
        <v>46317</v>
      </c>
      <c r="M57" s="27" t="s">
        <v>164</v>
      </c>
    </row>
    <row r="58" spans="1:13" ht="30" x14ac:dyDescent="0.25">
      <c r="A58" s="26" cm="1">
        <f t="array" aca="1" ref="A58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32</v>
      </c>
      <c r="B58" s="11" t="s">
        <v>118</v>
      </c>
      <c r="C58" s="10" t="s">
        <v>130</v>
      </c>
      <c r="D58" s="10" t="s">
        <v>146</v>
      </c>
      <c r="E58" s="34" t="s">
        <v>158</v>
      </c>
      <c r="F58" s="34" t="s">
        <v>161</v>
      </c>
      <c r="G58" s="10" t="s">
        <v>143</v>
      </c>
      <c r="H58" s="10" t="s">
        <v>165</v>
      </c>
      <c r="I58" s="37">
        <v>0.66666666666666663</v>
      </c>
      <c r="J58" s="37">
        <v>0.83333333333333337</v>
      </c>
      <c r="K58" s="13">
        <v>46317</v>
      </c>
      <c r="L58" s="13">
        <v>46317</v>
      </c>
      <c r="M58" s="27" t="s">
        <v>145</v>
      </c>
    </row>
    <row r="59" spans="1:13" ht="90" x14ac:dyDescent="0.25">
      <c r="A59" s="26" cm="1">
        <f t="array" aca="1" ref="A59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33</v>
      </c>
      <c r="B59" s="11" t="s">
        <v>118</v>
      </c>
      <c r="C59" s="10" t="s">
        <v>166</v>
      </c>
      <c r="D59" s="10" t="s">
        <v>140</v>
      </c>
      <c r="E59" s="34" t="s">
        <v>167</v>
      </c>
      <c r="F59" s="34" t="s">
        <v>168</v>
      </c>
      <c r="G59" s="10" t="s">
        <v>143</v>
      </c>
      <c r="H59" s="10" t="s">
        <v>169</v>
      </c>
      <c r="I59" s="37">
        <v>0</v>
      </c>
      <c r="J59" s="37">
        <v>0.20833333333333334</v>
      </c>
      <c r="K59" s="13">
        <v>46317</v>
      </c>
      <c r="L59" s="13">
        <v>46317</v>
      </c>
      <c r="M59" s="27" t="s">
        <v>170</v>
      </c>
    </row>
    <row r="60" spans="1:13" ht="90" x14ac:dyDescent="0.25">
      <c r="A60" s="26" cm="1">
        <f t="array" aca="1" ref="A60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34</v>
      </c>
      <c r="B60" s="11" t="s">
        <v>118</v>
      </c>
      <c r="C60" s="10" t="s">
        <v>166</v>
      </c>
      <c r="D60" s="10" t="s">
        <v>140</v>
      </c>
      <c r="E60" s="34" t="s">
        <v>167</v>
      </c>
      <c r="F60" s="34" t="s">
        <v>168</v>
      </c>
      <c r="G60" s="10" t="s">
        <v>143</v>
      </c>
      <c r="H60" s="10" t="s">
        <v>169</v>
      </c>
      <c r="I60" s="37">
        <v>0.97916666666666663</v>
      </c>
      <c r="J60" s="37">
        <v>0.99930555555555556</v>
      </c>
      <c r="K60" s="13">
        <v>46317</v>
      </c>
      <c r="L60" s="13">
        <v>46317</v>
      </c>
      <c r="M60" s="27" t="s">
        <v>170</v>
      </c>
    </row>
    <row r="61" spans="1:13" ht="225" x14ac:dyDescent="0.25">
      <c r="A61" s="26" cm="1">
        <f t="array" aca="1" ref="A61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35</v>
      </c>
      <c r="B61" s="11" t="s">
        <v>118</v>
      </c>
      <c r="C61" s="10" t="s">
        <v>171</v>
      </c>
      <c r="D61" s="10" t="s">
        <v>140</v>
      </c>
      <c r="E61" s="34" t="s">
        <v>172</v>
      </c>
      <c r="F61" s="34" t="s">
        <v>173</v>
      </c>
      <c r="G61" s="10" t="s">
        <v>143</v>
      </c>
      <c r="H61" s="10" t="s">
        <v>174</v>
      </c>
      <c r="I61" s="37">
        <v>0</v>
      </c>
      <c r="J61" s="37">
        <v>0.1875</v>
      </c>
      <c r="K61" s="13">
        <v>46317</v>
      </c>
      <c r="L61" s="13">
        <v>46317</v>
      </c>
      <c r="M61" s="27" t="s">
        <v>175</v>
      </c>
    </row>
    <row r="62" spans="1:13" ht="225" x14ac:dyDescent="0.25">
      <c r="A62" s="26" cm="1">
        <f t="array" aca="1" ref="A62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36</v>
      </c>
      <c r="B62" s="11" t="s">
        <v>118</v>
      </c>
      <c r="C62" s="10" t="s">
        <v>171</v>
      </c>
      <c r="D62" s="10" t="s">
        <v>140</v>
      </c>
      <c r="E62" s="34" t="s">
        <v>172</v>
      </c>
      <c r="F62" s="34" t="s">
        <v>173</v>
      </c>
      <c r="G62" s="10" t="s">
        <v>143</v>
      </c>
      <c r="H62" s="10" t="s">
        <v>174</v>
      </c>
      <c r="I62" s="37">
        <v>0.98611111111111116</v>
      </c>
      <c r="J62" s="37">
        <v>0.99930555555555556</v>
      </c>
      <c r="K62" s="13">
        <v>46317</v>
      </c>
      <c r="L62" s="13">
        <v>46317</v>
      </c>
      <c r="M62" s="27" t="s">
        <v>175</v>
      </c>
    </row>
    <row r="63" spans="1:13" ht="135" x14ac:dyDescent="0.25">
      <c r="A63" s="26" cm="1">
        <f t="array" aca="1" ref="A63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37</v>
      </c>
      <c r="B63" s="11" t="s">
        <v>176</v>
      </c>
      <c r="C63" s="10" t="s">
        <v>176</v>
      </c>
      <c r="D63" s="118" t="s">
        <v>177</v>
      </c>
      <c r="E63" s="119"/>
      <c r="F63" s="119"/>
      <c r="G63" s="120"/>
      <c r="H63" s="10" t="s">
        <v>178</v>
      </c>
      <c r="I63" s="37">
        <v>0.33333333333333331</v>
      </c>
      <c r="J63" s="37">
        <v>0.75</v>
      </c>
      <c r="K63" s="13">
        <v>46317</v>
      </c>
      <c r="L63" s="13">
        <v>46317</v>
      </c>
      <c r="M63" s="27" t="s">
        <v>179</v>
      </c>
    </row>
    <row r="64" spans="1:13" ht="120" x14ac:dyDescent="0.25">
      <c r="A64" s="26" cm="1">
        <f t="array" aca="1" ref="A64" ca="1">_xlfn.LET(_xlpm.Celda1,INDIRECT("F"&amp;ROW()-1&amp;"C"&amp;COLUMN(),FALSE),_xlpm.Celda2,INDIRECT("F"&amp;ROW()-2&amp;"C"&amp;COLUMN(),FALSE),_xlpm.Celda3,INDIRECT("F"&amp;ROW()-3&amp;"C"&amp;COLUMN(),FALSE),_xlpm.Celda4,INDIRECT("F"&amp;ROW()-4&amp;"C"&amp;COLUMN(),FALSE),IF(ISNUMBER(_xlpm.Celda1),_xlpm.Celda1+1,IF(ISNUMBER(_xlpm.Celda2),_xlpm.Celda2+1,IF(ISNUMBER(_xlpm.Celda3),_xlpm.Celda3+1,IF(ISNUMBER(_xlpm.Celda4),_xlpm.Celda4+1,1)))))</f>
        <v>38</v>
      </c>
      <c r="B64" s="11" t="s">
        <v>176</v>
      </c>
      <c r="C64" s="10" t="s">
        <v>176</v>
      </c>
      <c r="D64" s="118" t="s">
        <v>177</v>
      </c>
      <c r="E64" s="119"/>
      <c r="F64" s="119"/>
      <c r="G64" s="120"/>
      <c r="H64" s="10" t="s">
        <v>180</v>
      </c>
      <c r="I64" s="37">
        <v>0.97916666666666663</v>
      </c>
      <c r="J64" s="37">
        <v>0.99930555555555556</v>
      </c>
      <c r="K64" s="13">
        <v>46317</v>
      </c>
      <c r="L64" s="13">
        <v>46317</v>
      </c>
      <c r="M64" s="27" t="s">
        <v>181</v>
      </c>
    </row>
    <row r="65" spans="1:14" ht="4.5" customHeight="1" thickBot="1" x14ac:dyDescent="0.3">
      <c r="A65" s="28"/>
      <c r="B65" s="2"/>
      <c r="C65" s="2"/>
      <c r="D65" s="3"/>
      <c r="E65" s="35"/>
      <c r="F65" s="35"/>
      <c r="G65" s="2"/>
      <c r="H65" s="4"/>
      <c r="I65" s="4"/>
      <c r="J65" s="5"/>
      <c r="K65" s="5"/>
      <c r="L65" s="6"/>
      <c r="M65" s="29"/>
    </row>
    <row r="66" spans="1:14" ht="22.5" customHeight="1" thickBot="1" x14ac:dyDescent="0.3">
      <c r="A66" s="39"/>
      <c r="B66" s="40"/>
      <c r="C66" s="40"/>
      <c r="D66" s="110" t="s">
        <v>50</v>
      </c>
      <c r="E66" s="110"/>
      <c r="F66" s="110"/>
      <c r="G66" s="110"/>
      <c r="H66" s="110"/>
      <c r="I66" s="110"/>
      <c r="J66" s="110"/>
      <c r="K66" s="40"/>
      <c r="L66" s="40"/>
      <c r="M66" s="41"/>
    </row>
    <row r="67" spans="1:14" ht="140.25" customHeight="1" thickBot="1" x14ac:dyDescent="0.3">
      <c r="A67" s="69"/>
      <c r="B67" s="108"/>
      <c r="C67" s="108"/>
      <c r="D67" s="108"/>
      <c r="E67" s="108"/>
      <c r="F67" s="108"/>
      <c r="G67" s="108"/>
      <c r="H67" s="108"/>
      <c r="I67" s="70"/>
      <c r="J67" s="70"/>
      <c r="K67" s="70"/>
      <c r="L67" s="70"/>
      <c r="M67" s="71"/>
    </row>
    <row r="68" spans="1:14" ht="15.75" customHeight="1" x14ac:dyDescent="0.25">
      <c r="A68" s="109"/>
      <c r="B68" s="109"/>
      <c r="C68" s="109"/>
      <c r="D68" s="109"/>
      <c r="E68" s="109"/>
      <c r="F68" s="109"/>
      <c r="G68" s="109"/>
      <c r="H68" s="109"/>
      <c r="I68" s="57"/>
      <c r="J68" s="57"/>
      <c r="K68" s="57"/>
      <c r="L68" s="57"/>
      <c r="M68" s="57"/>
      <c r="N68" s="67"/>
    </row>
    <row r="69" spans="1:14" ht="15.75" customHeight="1" x14ac:dyDescent="0.25">
      <c r="A69" s="109"/>
      <c r="B69" s="109"/>
      <c r="C69" s="109"/>
      <c r="D69" s="109"/>
      <c r="E69" s="109"/>
      <c r="F69" s="109"/>
      <c r="G69" s="109"/>
      <c r="H69" s="109"/>
      <c r="I69" s="58"/>
      <c r="J69" s="58"/>
      <c r="K69" s="58"/>
      <c r="L69" s="58"/>
      <c r="M69" s="58"/>
      <c r="N69" s="67"/>
    </row>
    <row r="70" spans="1:14" ht="15.75" customHeight="1" x14ac:dyDescent="0.25">
      <c r="A70" s="109"/>
      <c r="B70" s="109"/>
      <c r="C70" s="109"/>
      <c r="D70" s="109"/>
      <c r="E70" s="109"/>
      <c r="F70" s="109"/>
      <c r="G70" s="109"/>
      <c r="H70" s="109"/>
      <c r="I70" s="58"/>
      <c r="J70" s="58"/>
      <c r="K70" s="58"/>
      <c r="L70" s="58"/>
      <c r="M70" s="58"/>
      <c r="N70" s="67"/>
    </row>
    <row r="71" spans="1:14" x14ac:dyDescent="0.25">
      <c r="A71" s="67"/>
      <c r="B71" s="67"/>
      <c r="C71" s="67"/>
      <c r="D71" s="67"/>
      <c r="E71" s="68"/>
      <c r="F71" s="68"/>
      <c r="G71" s="67"/>
      <c r="H71" s="67"/>
      <c r="I71" s="67"/>
      <c r="J71" s="67"/>
      <c r="K71" s="67"/>
      <c r="L71" s="67"/>
      <c r="M71" s="67"/>
      <c r="N71" s="67"/>
    </row>
    <row r="72" spans="1:14" x14ac:dyDescent="0.25">
      <c r="A72" s="67"/>
      <c r="B72" s="67"/>
      <c r="C72" s="67"/>
      <c r="D72" s="67"/>
      <c r="E72" s="68"/>
      <c r="F72" s="68"/>
      <c r="G72" s="67"/>
      <c r="H72" s="67"/>
      <c r="I72" s="67"/>
      <c r="J72" s="67"/>
      <c r="K72" s="67"/>
      <c r="L72" s="67"/>
      <c r="M72" s="67"/>
      <c r="N72" s="67"/>
    </row>
    <row r="73" spans="1:14" x14ac:dyDescent="0.25">
      <c r="A73" s="67"/>
      <c r="B73" s="67"/>
      <c r="C73" s="67"/>
      <c r="D73" s="67"/>
      <c r="E73" s="68"/>
      <c r="F73" s="68"/>
      <c r="G73" s="67"/>
      <c r="H73" s="67"/>
      <c r="I73" s="67"/>
      <c r="J73" s="67"/>
      <c r="K73" s="67"/>
      <c r="L73" s="67"/>
      <c r="M73" s="67"/>
      <c r="N73" s="67"/>
    </row>
    <row r="74" spans="1:14" ht="40.5" customHeight="1" x14ac:dyDescent="0.25">
      <c r="A74" s="67"/>
      <c r="B74" s="67"/>
      <c r="C74" s="67"/>
      <c r="D74" s="67"/>
      <c r="E74" s="68"/>
      <c r="F74" s="68"/>
      <c r="G74" s="67"/>
      <c r="H74" s="67"/>
      <c r="I74" s="67"/>
      <c r="J74" s="67"/>
      <c r="K74" s="67"/>
      <c r="L74" s="67"/>
      <c r="M74" s="67"/>
      <c r="N74" s="67"/>
    </row>
  </sheetData>
  <mergeCells count="58">
    <mergeCell ref="A19:M19"/>
    <mergeCell ref="D14:J14"/>
    <mergeCell ref="A17:M17"/>
    <mergeCell ref="A18:M18"/>
    <mergeCell ref="D66:J66"/>
    <mergeCell ref="H15:M16"/>
    <mergeCell ref="E22:F22"/>
    <mergeCell ref="D46:D47"/>
    <mergeCell ref="B46:C46"/>
    <mergeCell ref="A46:A47"/>
    <mergeCell ref="M46:M47"/>
    <mergeCell ref="K46:L46"/>
    <mergeCell ref="I46:J46"/>
    <mergeCell ref="H46:H47"/>
    <mergeCell ref="G46:G47"/>
    <mergeCell ref="E46:F46"/>
    <mergeCell ref="J1:M1"/>
    <mergeCell ref="A2:B2"/>
    <mergeCell ref="I2:M2"/>
    <mergeCell ref="E1:H1"/>
    <mergeCell ref="E3:F3"/>
    <mergeCell ref="A3:B3"/>
    <mergeCell ref="A4:B4"/>
    <mergeCell ref="A5:B5"/>
    <mergeCell ref="A22:A23"/>
    <mergeCell ref="G22:G23"/>
    <mergeCell ref="E4:F4"/>
    <mergeCell ref="D21:J21"/>
    <mergeCell ref="D22:D23"/>
    <mergeCell ref="I6:L6"/>
    <mergeCell ref="I7:L7"/>
    <mergeCell ref="I8:L8"/>
    <mergeCell ref="C6:D6"/>
    <mergeCell ref="C7:D7"/>
    <mergeCell ref="C8:D8"/>
    <mergeCell ref="F6:G6"/>
    <mergeCell ref="F7:G7"/>
    <mergeCell ref="F8:G8"/>
    <mergeCell ref="M22:M23"/>
    <mergeCell ref="B67:H67"/>
    <mergeCell ref="A68:H68"/>
    <mergeCell ref="A69:H69"/>
    <mergeCell ref="A70:H70"/>
    <mergeCell ref="D45:J45"/>
    <mergeCell ref="I22:J22"/>
    <mergeCell ref="K22:L22"/>
    <mergeCell ref="B22:C22"/>
    <mergeCell ref="H22:H23"/>
    <mergeCell ref="D64:G64"/>
    <mergeCell ref="D63:G63"/>
    <mergeCell ref="C10:D10"/>
    <mergeCell ref="C11:D11"/>
    <mergeCell ref="C12:D12"/>
    <mergeCell ref="F9:G9"/>
    <mergeCell ref="F10:G10"/>
    <mergeCell ref="F11:G11"/>
    <mergeCell ref="F12:G12"/>
    <mergeCell ref="C9:D9"/>
  </mergeCells>
  <conditionalFormatting sqref="B24:M44">
    <cfRule type="expression" dxfId="4" priority="12">
      <formula>AND($K24&gt;0,$K24=$L24,$G24="TOQUE PITO")</formula>
    </cfRule>
    <cfRule type="expression" dxfId="3" priority="13">
      <formula>SEARCH("Cruce",$D24)</formula>
    </cfRule>
    <cfRule type="expression" dxfId="2" priority="14">
      <formula>AND($K24&gt;0,$K24=$L24)</formula>
    </cfRule>
  </conditionalFormatting>
  <conditionalFormatting sqref="H24:H64">
    <cfRule type="containsText" dxfId="1" priority="15" operator="containsText" text="VENTANA DE TRABAJO BAJO COORDINACIÓN CON CONTROLADOR DE TRÁFICO">
      <formula>NOT(ISERROR(SEARCH("VENTANA DE TRABAJO BAJO COORDINACIÓN CON CONTROLADOR DE TRÁFICO",H24)))</formula>
    </cfRule>
  </conditionalFormatting>
  <conditionalFormatting sqref="H24:H44">
    <cfRule type="expression" dxfId="0" priority="11">
      <formula>AND($K24&gt;0,$K24=$L24,$G24="TOQUE PITO")</formula>
    </cfRule>
  </conditionalFormatting>
  <hyperlinks>
    <hyperlink ref="H8" r:id="rId1" xr:uid="{9F9DA072-CC17-47A2-9542-4F3E1598F1FF}"/>
    <hyperlink ref="I8" r:id="rId2" xr:uid="{429B97BD-B768-41CF-B7D5-3B72346E6404}"/>
    <hyperlink ref="C9" r:id="rId3" xr:uid="{A9B74134-8CAA-481B-9EC3-ECE9FFF4122C}"/>
    <hyperlink ref="F8" r:id="rId4" display="ct.con@efesur.cl" xr:uid="{A62771B1-F50B-44FC-8E46-A4111D7FF847}"/>
    <hyperlink ref="F9" r:id="rId5" xr:uid="{616104E9-1DFE-495C-AAB9-5F8759EC5E00}"/>
  </hyperlinks>
  <pageMargins left="0.31496062992125984" right="0.31496062992125984" top="0.35433070866141736" bottom="0.35433070866141736" header="0.31496062992125984" footer="0.31496062992125984"/>
  <pageSetup scale="61" fitToHeight="0" orientation="landscape" r:id="rId6"/>
  <headerFooter>
    <oddFooter>&amp;R&amp;P</oddFooter>
  </headerFooter>
  <drawing r:id="rId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5382F9A49816E4BB01C68A445F45E9E" ma:contentTypeVersion="12" ma:contentTypeDescription="Crear nuevo documento." ma:contentTypeScope="" ma:versionID="4d578b9c7c3b00852d9c044d8d9956a4">
  <xsd:schema xmlns:xsd="http://www.w3.org/2001/XMLSchema" xmlns:xs="http://www.w3.org/2001/XMLSchema" xmlns:p="http://schemas.microsoft.com/office/2006/metadata/properties" xmlns:ns2="313609a6-81c6-46ac-ab9d-5ac73f4e1ccd" xmlns:ns3="f45291bc-c7a1-4ef0-8ab4-c48bff5dc735" targetNamespace="http://schemas.microsoft.com/office/2006/metadata/properties" ma:root="true" ma:fieldsID="92db37c773123e2ab5149400cca1b3b1" ns2:_="" ns3:_="">
    <xsd:import namespace="313609a6-81c6-46ac-ab9d-5ac73f4e1ccd"/>
    <xsd:import namespace="f45291bc-c7a1-4ef0-8ab4-c48bff5dc73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3609a6-81c6-46ac-ab9d-5ac73f4e1cc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5291bc-c7a1-4ef0-8ab4-c48bff5dc73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e428f025-56c5-4e3e-ab4e-3896790a3fc2}" ma:internalName="TaxCatchAll" ma:showField="CatchAllData" ma:web="f45291bc-c7a1-4ef0-8ab4-c48bff5dc73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45291bc-c7a1-4ef0-8ab4-c48bff5dc735" xsi:nil="true"/>
    <lcf76f155ced4ddcb4097134ff3c332f xmlns="313609a6-81c6-46ac-ab9d-5ac73f4e1cc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166D88B-7F68-43F4-A96E-1F45E0E93D9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9C0CCF-64D9-48FA-AC9B-188681EF6E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3609a6-81c6-46ac-ab9d-5ac73f4e1ccd"/>
    <ds:schemaRef ds:uri="f45291bc-c7a1-4ef0-8ab4-c48bff5dc73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2591B6-8C80-41FE-AFE6-A9A4EC0BE937}">
  <ds:schemaRefs>
    <ds:schemaRef ds:uri="f45291bc-c7a1-4ef0-8ab4-c48bff5dc735"/>
    <ds:schemaRef ds:uri="http://purl.org/dc/elements/1.1/"/>
    <ds:schemaRef ds:uri="http://www.w3.org/XML/1998/namespace"/>
    <ds:schemaRef ds:uri="http://schemas.microsoft.com/office/2006/documentManagement/types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313609a6-81c6-46ac-ab9d-5ac73f4e1ccd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2026-10-22T00:56:07Z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0x010100E5382F9A49816E4BB01C68A445F45E9E</vt:lpwstr>
  </property>
  <property fmtid="{D5CDD505-2E9C-101B-9397-08002B2CF9AE}" pid="3" name="MediaServiceImageTags">
    <vt:lpwstr/>
  </property>
</Properties>
</file>