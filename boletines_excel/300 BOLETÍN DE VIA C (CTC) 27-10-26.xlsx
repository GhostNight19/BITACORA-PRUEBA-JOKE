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filterPrivacy="1" defaultThemeVersion="124226"/>
  <xr:revisionPtr revIDLastSave="0" documentId="8_{396731D1-2BB6-4F26-95FA-48381A7D1E8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</sheets>
  <definedNames>
    <definedName name="_xlnm.Print_Area" localSheetId="0">Hoja1!$A$1:$M$146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4" i="1" l="1"/>
  <c r="A29" i="1" a="1"/>
  <c r="A29" i="1" l="1"/>
  <c r="A30" i="1" a="1"/>
  <c r="A30" i="1" l="1"/>
  <c r="A31" i="1" a="1"/>
  <c r="A31" i="1" l="1"/>
  <c r="A32" i="1" a="1"/>
  <c r="A32" i="1" l="1"/>
  <c r="A33" i="1" a="1"/>
  <c r="A33" i="1" l="1"/>
  <c r="A34" i="1" a="1"/>
  <c r="A34" i="1" l="1"/>
  <c r="A35" i="1" a="1"/>
  <c r="A35" i="1" l="1"/>
  <c r="A36" i="1" a="1"/>
  <c r="A36" i="1" l="1"/>
  <c r="A37" i="1" a="1"/>
  <c r="A37" i="1" l="1"/>
  <c r="A38" i="1" a="1"/>
  <c r="A38" i="1" l="1"/>
  <c r="A39" i="1" a="1"/>
  <c r="A39" i="1" l="1"/>
  <c r="A40" i="1" a="1"/>
  <c r="A40" i="1" l="1"/>
  <c r="A41" i="1" a="1"/>
  <c r="A41" i="1" l="1"/>
  <c r="A42" i="1" a="1"/>
  <c r="A42" i="1" l="1"/>
  <c r="A43" i="1" a="1"/>
  <c r="A43" i="1" l="1"/>
  <c r="A44" i="1" a="1"/>
  <c r="A44" i="1" l="1"/>
  <c r="A45" i="1" a="1"/>
  <c r="A45" i="1" l="1"/>
  <c r="A46" i="1" a="1"/>
  <c r="A46" i="1" l="1"/>
  <c r="A47" i="1" a="1"/>
  <c r="A47" i="1" l="1"/>
  <c r="A48" i="1" a="1"/>
  <c r="A48" i="1" l="1"/>
  <c r="A49" i="1" a="1"/>
  <c r="A49" i="1" l="1"/>
  <c r="A50" i="1" a="1"/>
  <c r="A50" i="1" l="1"/>
  <c r="A51" i="1" a="1"/>
  <c r="A51" i="1" l="1"/>
  <c r="A52" i="1" a="1"/>
  <c r="A52" i="1" l="1"/>
  <c r="A53" i="1" a="1"/>
  <c r="A53" i="1" l="1"/>
  <c r="A54" i="1" a="1"/>
  <c r="A54" i="1" l="1"/>
  <c r="A55" i="1" a="1"/>
  <c r="A55" i="1" l="1"/>
  <c r="A56" i="1" a="1"/>
  <c r="A56" i="1" l="1"/>
  <c r="A57" i="1" a="1"/>
  <c r="A57" i="1" l="1"/>
  <c r="A58" i="1" a="1"/>
  <c r="A58" i="1" l="1"/>
  <c r="A59" i="1" a="1"/>
  <c r="A59" i="1" l="1"/>
  <c r="A60" i="1" a="1"/>
  <c r="A60" i="1" l="1"/>
  <c r="A61" i="1" a="1"/>
  <c r="A61" i="1" l="1"/>
  <c r="A62" i="1" a="1"/>
  <c r="A62" i="1" l="1"/>
  <c r="A63" i="1" a="1"/>
  <c r="A63" i="1" l="1"/>
  <c r="A64" i="1" a="1"/>
  <c r="A64" i="1" l="1"/>
  <c r="A65" i="1" a="1"/>
  <c r="A65" i="1" l="1"/>
  <c r="A66" i="1" a="1"/>
  <c r="A66" i="1" l="1"/>
  <c r="A67" i="1" a="1"/>
  <c r="A67" i="1" l="1"/>
  <c r="A68" i="1" a="1"/>
  <c r="A68" i="1" l="1"/>
  <c r="A69" i="1" a="1"/>
  <c r="A69" i="1" l="1"/>
  <c r="A71" i="1" a="1"/>
  <c r="A71" i="1" l="1"/>
  <c r="A72" i="1" a="1"/>
  <c r="A72" i="1" l="1"/>
  <c r="A73" i="1" a="1"/>
  <c r="A73" i="1" l="1"/>
  <c r="A74" i="1" a="1"/>
  <c r="A74" i="1" l="1"/>
  <c r="A75" i="1" a="1"/>
  <c r="A75" i="1" l="1"/>
  <c r="A76" i="1" a="1"/>
  <c r="A76" i="1" l="1"/>
  <c r="A77" i="1" a="1"/>
  <c r="A77" i="1" l="1"/>
  <c r="A78" i="1" a="1"/>
  <c r="A78" i="1" l="1"/>
  <c r="A79" i="1" a="1"/>
  <c r="A79" i="1" l="1"/>
  <c r="A80" i="1" a="1"/>
  <c r="A80" i="1" l="1"/>
  <c r="A81" i="1" a="1"/>
  <c r="A81" i="1" l="1"/>
  <c r="A82" i="1" a="1"/>
  <c r="A82" i="1" l="1"/>
  <c r="A83" i="1" a="1"/>
  <c r="A83" i="1" l="1"/>
  <c r="A84" i="1" a="1"/>
  <c r="A84" i="1" l="1"/>
  <c r="A85" i="1" a="1"/>
  <c r="A85" i="1" l="1"/>
  <c r="A86" i="1" a="1"/>
  <c r="A86" i="1" l="1"/>
  <c r="A87" i="1" a="1"/>
  <c r="A87" i="1" l="1"/>
  <c r="A88" i="1" a="1"/>
  <c r="A88" i="1" l="1"/>
  <c r="A89" i="1" a="1"/>
  <c r="A89" i="1" l="1"/>
  <c r="A90" i="1" a="1"/>
  <c r="A90" i="1" l="1"/>
  <c r="A91" i="1" a="1"/>
  <c r="A91" i="1" l="1"/>
  <c r="A92" i="1" a="1"/>
  <c r="A92" i="1" l="1"/>
  <c r="A93" i="1" a="1"/>
  <c r="A93" i="1" l="1"/>
  <c r="A94" i="1" a="1"/>
  <c r="A94" i="1" l="1"/>
  <c r="A95" i="1" a="1"/>
  <c r="A95" i="1" l="1"/>
  <c r="A96" i="1" a="1"/>
  <c r="A96" i="1" l="1"/>
  <c r="A97" i="1" a="1"/>
  <c r="A97" i="1" l="1"/>
  <c r="A98" i="1" a="1"/>
  <c r="A98" i="1" l="1"/>
  <c r="A102" i="1" a="1"/>
  <c r="A102" i="1" l="1"/>
  <c r="A103" i="1" a="1"/>
  <c r="A103" i="1" l="1"/>
  <c r="A104" i="1" a="1"/>
  <c r="A104" i="1" l="1"/>
  <c r="A105" i="1" a="1"/>
  <c r="A105" i="1" l="1"/>
  <c r="A106" i="1" a="1"/>
  <c r="A106" i="1" l="1"/>
  <c r="A107" i="1" a="1"/>
  <c r="A107" i="1" l="1"/>
  <c r="A108" i="1" a="1"/>
  <c r="A108" i="1" l="1"/>
  <c r="A109" i="1" a="1"/>
  <c r="A109" i="1" l="1"/>
  <c r="A110" i="1" a="1"/>
  <c r="A110" i="1" l="1"/>
  <c r="A111" i="1" a="1"/>
  <c r="A111" i="1" l="1"/>
  <c r="A112" i="1" a="1"/>
  <c r="A112" i="1" l="1"/>
  <c r="A113" i="1" a="1"/>
  <c r="A113" i="1" l="1"/>
  <c r="A114" i="1" a="1"/>
  <c r="A114" i="1" l="1"/>
  <c r="A115" i="1" a="1"/>
  <c r="A115" i="1" l="1"/>
  <c r="A116" i="1" a="1"/>
  <c r="A116" i="1" l="1"/>
  <c r="A117" i="1" a="1"/>
  <c r="A117" i="1" l="1"/>
  <c r="A118" i="1" a="1"/>
  <c r="A118" i="1" l="1"/>
  <c r="A119" i="1" a="1"/>
  <c r="A119" i="1" l="1"/>
  <c r="A120" i="1" a="1"/>
  <c r="A120" i="1" l="1"/>
  <c r="A121" i="1" a="1"/>
  <c r="A121" i="1" l="1"/>
  <c r="A122" i="1" a="1"/>
  <c r="A122" i="1" l="1"/>
  <c r="A123" i="1" a="1"/>
  <c r="A123" i="1" l="1"/>
  <c r="A124" i="1" a="1"/>
  <c r="A124" i="1" l="1"/>
  <c r="A125" i="1" a="1"/>
  <c r="A125" i="1" l="1"/>
  <c r="A126" i="1" a="1"/>
  <c r="A126" i="1" l="1"/>
  <c r="A127" i="1" a="1"/>
  <c r="A127" i="1" l="1"/>
  <c r="A128" i="1" a="1"/>
  <c r="A128" i="1" l="1"/>
  <c r="A129" i="1" a="1"/>
  <c r="A129" i="1" l="1"/>
  <c r="A130" i="1" a="1"/>
  <c r="A130" i="1" l="1"/>
  <c r="A131" i="1" a="1"/>
  <c r="A131" i="1" l="1"/>
  <c r="A132" i="1" a="1"/>
  <c r="A132" i="1" l="1"/>
  <c r="A133" i="1" a="1"/>
  <c r="A133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<sst xmlns="http://schemas.openxmlformats.org/spreadsheetml/2006/main" count="904" uniqueCount="329">
  <si>
    <t>BLOCK</t>
  </si>
  <si>
    <t>DESDE</t>
  </si>
  <si>
    <t>HASTA</t>
  </si>
  <si>
    <t>HORA</t>
  </si>
  <si>
    <t xml:space="preserve">FECHA </t>
  </si>
  <si>
    <t>N°</t>
  </si>
  <si>
    <t>KM</t>
  </si>
  <si>
    <t>DESCRIPCIÓN TRABAJOS</t>
  </si>
  <si>
    <t>INICIO</t>
  </si>
  <si>
    <t>EMPRESA</t>
  </si>
  <si>
    <t>VIA</t>
  </si>
  <si>
    <t>TIPO CORTADA</t>
  </si>
  <si>
    <t>MESA CTC 1</t>
  </si>
  <si>
    <t>MESA CTC 2</t>
  </si>
  <si>
    <t>HUALQUI - CONCEPCIÓN - TALCAHUANO</t>
  </si>
  <si>
    <t xml:space="preserve">COORDINADO POR </t>
  </si>
  <si>
    <t>DESCRIPCIÓN TRABAJOS / EPF / CORTADOR ELECTRICO</t>
  </si>
  <si>
    <t>TÉRMINO</t>
  </si>
  <si>
    <t>VELOCIDAD Y/O RESTRICCIÓN</t>
  </si>
  <si>
    <t>RÉGIMEN A UTILIZAR</t>
  </si>
  <si>
    <t>Autorizado por I.T.</t>
  </si>
  <si>
    <t>Folio</t>
  </si>
  <si>
    <t>Emitido</t>
  </si>
  <si>
    <t>TRENES DE PASAJEROS: VELOCIDAD MÁXIMA DE OPERACIÓN 100 KM/HORA</t>
  </si>
  <si>
    <t>TRENES DE CARGA: VELOCIDAD MÁXIMA DE OPERACIÓN 65 KM/HORA</t>
  </si>
  <si>
    <t>SE AUTORIZA EL USO DEL PUENTE FERROVIARIO ANTIGUO PK 1/3 AL PK 2/16 SOLAMENTE PARA MÓVILES DE MANTENIMIENTO EN RELACIÓN A TRABAJOS PROYECTO PUENTE (09-07-25 R. DEMETRIO)</t>
  </si>
  <si>
    <t>NOTIFICACION DE FAENAS EN EL INICIO DEL RECORRIDO (HUALQUI A TALCAHUANO)</t>
  </si>
  <si>
    <t>NOTIFICACION DE FAENAS EN EL INICIO DEL RECORRIDO (CONCEPCIÓN A CORONEL)</t>
  </si>
  <si>
    <t>PROGRAMACIÓN DE CORTADAS</t>
  </si>
  <si>
    <t>MESA SSE REMOTO</t>
  </si>
  <si>
    <t>SD-15 / BUENURAQUI - QUILACOYA</t>
  </si>
  <si>
    <t>controlador.sser@efesur.cl</t>
  </si>
  <si>
    <t>DESPACHO ELÉCTRICO CONCEPCIÓN</t>
  </si>
  <si>
    <t>despacho.electrico@efesur.cl</t>
  </si>
  <si>
    <t>BIOBÍO - CORONEL</t>
  </si>
  <si>
    <t>INSPECTOR DE TURNO CONCEPCIÓN</t>
  </si>
  <si>
    <t>ct.con@efesur.cl</t>
  </si>
  <si>
    <t>MESA CFLEX 4</t>
  </si>
  <si>
    <t>SR-TH / CC-CW</t>
  </si>
  <si>
    <t>MESA AUV 2 / CFLEX 2</t>
  </si>
  <si>
    <t>operador.concepcion@efesur.cl</t>
  </si>
  <si>
    <t>41 216 6760 / 9 9848 1086</t>
  </si>
  <si>
    <t>41 216 6767 / 41 216 6768 / 9 4271 8148</t>
  </si>
  <si>
    <t>41 216 6762</t>
  </si>
  <si>
    <t>41 216 6761</t>
  </si>
  <si>
    <t>41 216 6766 / 41 216 6770</t>
  </si>
  <si>
    <t>41 216 6763</t>
  </si>
  <si>
    <t>41 216 6765</t>
  </si>
  <si>
    <t>SD 18 / 19 / 21 / 22 / 32 / 37 / 38 / 40 / RQ-NA</t>
  </si>
  <si>
    <t>VELOCIDADES MÁXIMAS EN EL SECTOR</t>
  </si>
  <si>
    <r>
      <t xml:space="preserve">- PUENTE HUALQUI (Km 46,416): de acuerdo a norma NS-01-01-00 </t>
    </r>
    <r>
      <rPr>
        <b/>
        <sz val="12"/>
        <color rgb="FF000000"/>
        <rFont val="Calibri"/>
        <family val="2"/>
      </rPr>
      <t>CLASE B (PASAJEROS 50 km/h, CARGA 40 km/h)</t>
    </r>
    <r>
      <rPr>
        <sz val="12"/>
        <color indexed="8"/>
        <rFont val="Calibri"/>
        <family val="2"/>
      </rPr>
      <t>.</t>
    </r>
  </si>
  <si>
    <r>
      <t xml:space="preserve">- ACCESO A DESVÍO PUERTO SAN VICENTE: </t>
    </r>
    <r>
      <rPr>
        <b/>
        <sz val="14"/>
        <color rgb="FF000000"/>
        <rFont val="Calibri"/>
        <family val="2"/>
      </rPr>
      <t>10 km/h</t>
    </r>
    <r>
      <rPr>
        <sz val="12"/>
        <color indexed="8"/>
        <rFont val="Calibri"/>
        <family val="2"/>
      </rPr>
      <t xml:space="preserve"> ENTRE CAMBIO 22B (ÚLTIMO CAMBIO PATIO) Y CAMBIO 29 (200 METROS LADO NORTE PORTÓN).</t>
    </r>
  </si>
  <si>
    <t>- VELOCIDAD CONSTANTE EN TODO EL PATIO DE CARGA. POR RENOVACIÓN VÍA QUEDA DESENERGIZADO (AISLADO) DESDE KM 81 P. 33-A (LADO SUR CONCEPCIÓN) A 83 P. 6-C (LADO NORTE SAN VICENTE).</t>
  </si>
  <si>
    <r>
      <t xml:space="preserve">1. </t>
    </r>
    <r>
      <rPr>
        <b/>
        <u/>
        <sz val="12"/>
        <color rgb="FF000000"/>
        <rFont val="Calibri"/>
        <family val="2"/>
      </rPr>
      <t>TRENES DE PASAJEROS</t>
    </r>
    <r>
      <rPr>
        <b/>
        <sz val="12"/>
        <color indexed="8"/>
        <rFont val="Calibri"/>
        <family val="2"/>
      </rPr>
      <t>:</t>
    </r>
  </si>
  <si>
    <r>
      <t xml:space="preserve">3. </t>
    </r>
    <r>
      <rPr>
        <b/>
        <u/>
        <sz val="12"/>
        <color rgb="FF000000"/>
        <rFont val="Calibri"/>
        <family val="2"/>
      </rPr>
      <t>PATIO EL ARENAL</t>
    </r>
    <r>
      <rPr>
        <b/>
        <sz val="12"/>
        <color indexed="8"/>
        <rFont val="Calibri"/>
        <family val="2"/>
      </rPr>
      <t xml:space="preserve">: </t>
    </r>
    <r>
      <rPr>
        <b/>
        <sz val="14"/>
        <color rgb="FF000000"/>
        <rFont val="Calibri"/>
        <family val="2"/>
      </rPr>
      <t>20 km/h</t>
    </r>
    <r>
      <rPr>
        <sz val="12"/>
        <color rgb="FF000000"/>
        <rFont val="Calibri"/>
        <family val="2"/>
      </rPr>
      <t xml:space="preserve"> PARA TODO TREN.</t>
    </r>
  </si>
  <si>
    <r>
      <t xml:space="preserve">4. </t>
    </r>
    <r>
      <rPr>
        <b/>
        <u/>
        <sz val="12"/>
        <color rgb="FF000000"/>
        <rFont val="Calibri"/>
        <family val="2"/>
      </rPr>
      <t>DESVÍO TRONCAL INDUSTRIAS DERIVADAS</t>
    </r>
    <r>
      <rPr>
        <b/>
        <sz val="12"/>
        <color indexed="8"/>
        <rFont val="Calibri"/>
        <family val="2"/>
      </rPr>
      <t xml:space="preserve">: </t>
    </r>
    <r>
      <rPr>
        <b/>
        <sz val="14"/>
        <color rgb="FF000000"/>
        <rFont val="Calibri"/>
        <family val="2"/>
      </rPr>
      <t>20 km/h</t>
    </r>
    <r>
      <rPr>
        <sz val="12"/>
        <color rgb="FF000000"/>
        <rFont val="Calibri"/>
        <family val="2"/>
      </rPr>
      <t xml:space="preserve"> PARA TODO TREN O MÓVIL, CON RESTRICCIÓN A </t>
    </r>
    <r>
      <rPr>
        <b/>
        <sz val="14"/>
        <color rgb="FF000000"/>
        <rFont val="Calibri"/>
        <family val="2"/>
      </rPr>
      <t>10 km/h</t>
    </r>
    <r>
      <rPr>
        <sz val="12"/>
        <color rgb="FF000000"/>
        <rFont val="Calibri"/>
        <family val="2"/>
      </rPr>
      <t xml:space="preserve"> EN ZONAS DE DESVIADORES </t>
    </r>
    <r>
      <rPr>
        <b/>
        <sz val="12"/>
        <color rgb="FF000000"/>
        <rFont val="Calibri"/>
        <family val="2"/>
      </rPr>
      <t>(Km 3,000 a 3,300 y Km 3,750 a 4,100)</t>
    </r>
    <r>
      <rPr>
        <sz val="12"/>
        <color rgb="FF000000"/>
        <rFont val="Calibri"/>
        <family val="2"/>
      </rPr>
      <t>.</t>
    </r>
  </si>
  <si>
    <t>VELOCIDADES DE PASO POR CRUCES</t>
  </si>
  <si>
    <r>
      <t xml:space="preserve">FRECUENCIA RADIAL DE COMUNICACIÓN CTC L1: </t>
    </r>
    <r>
      <rPr>
        <b/>
        <sz val="24"/>
        <color rgb="FF000000"/>
        <rFont val="Calibri"/>
        <family val="2"/>
      </rPr>
      <t>"5 CTC1 (HQ-TH)"</t>
    </r>
  </si>
  <si>
    <r>
      <t xml:space="preserve">FRECUENCIA RADIAL DE COMUNICACIÓN CTC L2: </t>
    </r>
    <r>
      <rPr>
        <b/>
        <sz val="24"/>
        <color rgb="FF000000"/>
        <rFont val="Calibri"/>
        <family val="2"/>
      </rPr>
      <t>"4 CTC2 (CC-CW)"</t>
    </r>
  </si>
  <si>
    <t>NOTA: A PERSONAL DE TRACCIÓN, NO DESPLEGAR ESPEJOS RETROVISORES DE UT EN PK 27 ENTRE POSTES 11 AL 19 POR V2 (PATRICIO ARANEDA M.)</t>
  </si>
  <si>
    <t>NOTA: A PERSONAL DE TRACCIÓN, NO HACER USO DE LA GRAN ACELERACIÓN CON UT EN L2 AMBAS VIAS (FRANCISCO MATUS)</t>
  </si>
  <si>
    <r>
      <t xml:space="preserve">2. </t>
    </r>
    <r>
      <rPr>
        <b/>
        <u/>
        <sz val="12"/>
        <color rgb="FF000000"/>
        <rFont val="Calibri"/>
        <family val="2"/>
      </rPr>
      <t>TRENES DE CARGA</t>
    </r>
    <r>
      <rPr>
        <b/>
        <sz val="12"/>
        <color indexed="8"/>
        <rFont val="Calibri"/>
        <family val="2"/>
      </rPr>
      <t>:</t>
    </r>
  </si>
  <si>
    <t>NUEVO PUENTE BIOBÍO:</t>
  </si>
  <si>
    <t>ANTIGUO PUENTE BIOBÍO:</t>
  </si>
  <si>
    <r>
      <rPr>
        <b/>
        <u/>
        <sz val="16"/>
        <rFont val="Calibri"/>
        <family val="2"/>
      </rPr>
      <t>NOTA A PERSONAL DE TRENES DE CARGA Y PASAJEROS</t>
    </r>
    <r>
      <rPr>
        <b/>
        <sz val="16"/>
        <rFont val="Calibri"/>
        <family val="2"/>
      </rPr>
      <t xml:space="preserve">: CUANDO LOS SISTEMAS DE PROTECCIÓN AUTOMATIZADOS DE PASOS A NIVEL, YA SEA EN CRUCES ENCLAVADOS, PLENA VÍA Y/O AFECTADOS, PRESENTEN ALGÚN TIPO DE FALLA Y/O AVERÍA QUE IMPOSIBILITE CUMPLIR LAS EXIGENCIAS MÍNIMAS DE SEGURIDAD, LA VELOCIDAD DE CIRCULACIÓN NO DEBE SER SUPERIOR A </t>
    </r>
    <r>
      <rPr>
        <b/>
        <sz val="18"/>
        <color rgb="FFC00000"/>
        <rFont val="Calibri"/>
        <family val="2"/>
      </rPr>
      <t>15 km/h</t>
    </r>
    <r>
      <rPr>
        <b/>
        <sz val="16"/>
        <rFont val="Calibri"/>
        <family val="2"/>
      </rPr>
      <t xml:space="preserve"> PARA TODO TIPO DE TREN Y EQUIPOS MENORES.</t>
    </r>
  </si>
  <si>
    <t>OIS BOLETÍN DE VIA C (SECTORES CTC)</t>
  </si>
  <si>
    <t>QUILACOYA</t>
  </si>
  <si>
    <t>HUALQUI</t>
  </si>
  <si>
    <t xml:space="preserve">TODAS </t>
  </si>
  <si>
    <t>46 P. 1</t>
  </si>
  <si>
    <t>47 P. 1</t>
  </si>
  <si>
    <t>30 km/h Y TOQUE PITO</t>
  </si>
  <si>
    <t>MANTENIMIENTO DE CIRCUITOS DE VIAS CON CAJAS DE SINTONÍA (CV4(PCV4-1) EST.HUALQUI / MANUEL RIQUELME (P-5.1) / 936856982</t>
  </si>
  <si>
    <t>GLOBE ICF SA (RICARDO YAÑEZ)</t>
  </si>
  <si>
    <t>PUENTE</t>
  </si>
  <si>
    <t>46 P. 10</t>
  </si>
  <si>
    <t>46 P. 15</t>
  </si>
  <si>
    <t>PASAJEROS 30 km/h,          CARGA 20 km/h</t>
  </si>
  <si>
    <t>DAÑO EN HORMIGÓN DE MESA DE APOYO DE CEPA 4</t>
  </si>
  <si>
    <t/>
  </si>
  <si>
    <t>UNIDAD DE PUENTES EFE</t>
  </si>
  <si>
    <t>LA LEONERA</t>
  </si>
  <si>
    <t>TODAS</t>
  </si>
  <si>
    <t>47 P. 11</t>
  </si>
  <si>
    <t>49 P. 7</t>
  </si>
  <si>
    <t>PASAJEROS 30 km/h, CARGA 20 km/h</t>
  </si>
  <si>
    <t>CONDICIÓN DE LA VÍA, TROCHA, Y DURMIENTES EN MAL ESTADO.</t>
  </si>
  <si>
    <t>EFE</t>
  </si>
  <si>
    <t>47 P. 22</t>
  </si>
  <si>
    <t>47 P. 23</t>
  </si>
  <si>
    <t>PASAJEROS 40 km/h,          CARGA 20 km/h</t>
  </si>
  <si>
    <t>PTE. LA ARAUCANA POR MAL ESTADO DE CONSERVACIÓN E INCERTIDUMBRE DE ARMADURA EXISTENTE (KM 47,950)</t>
  </si>
  <si>
    <t>PRINCIPAL</t>
  </si>
  <si>
    <t>50 P. 1</t>
  </si>
  <si>
    <t>52 P. 1</t>
  </si>
  <si>
    <t>PASAJEROS 50 km/h,          CARGA 40 km/h</t>
  </si>
  <si>
    <t>CONDICIÓN GEOMÉTRICA DE LA VÍA POR MRV</t>
  </si>
  <si>
    <t>EFE (ROBERTO DEMETRIO)</t>
  </si>
  <si>
    <t>VÍA 1</t>
  </si>
  <si>
    <t>53 P. 1</t>
  </si>
  <si>
    <t>56 P. 1</t>
  </si>
  <si>
    <t>54 P. 16</t>
  </si>
  <si>
    <t>54 P. 20</t>
  </si>
  <si>
    <t>30 km/h</t>
  </si>
  <si>
    <t>CRUCE VEHICULAR PARTICULAR NO REGULADO</t>
  </si>
  <si>
    <t>EFE (ROBERTO EGLI)</t>
  </si>
  <si>
    <t>ENLACE Ag.1-Ag.3 (V1-V2)</t>
  </si>
  <si>
    <t>54 P. 32</t>
  </si>
  <si>
    <t>20 km/h</t>
  </si>
  <si>
    <t>INGRESO DESDE HUALQUI A V-2 POR ENLACE A1-A3 (SOLO PASAJEROS), SALIDA DESDE V-2 HACIA HUALQUI POR ENLACE A3-A1 (PASAJEROS - CARGA)</t>
  </si>
  <si>
    <t>INDEFINIDAS</t>
  </si>
  <si>
    <t>SIN TRÁFICO CARGA</t>
  </si>
  <si>
    <t>SIN TRÁFICO DE CARGA DESDE HUALQUI A V-2 POR ENLACE A1-A3 / SÓLO SE AUTORIZA MANIOBRA A REVERSA DE V-1 A V-2 – ENLACE A1-A3 – A LOCOMOTORA VOLANDA (TRANSAP 60203 - FEPASA 50090), LO ANTERIOR A 10 KM/HORA</t>
  </si>
  <si>
    <t>CHIGUAYANTE</t>
  </si>
  <si>
    <t>AMBAS VÍAS</t>
  </si>
  <si>
    <t>57 P. 1</t>
  </si>
  <si>
    <t>58 P. 19</t>
  </si>
  <si>
    <t>PRUEBAS DE FUNCIONA CRUCE PINARES / MICHAEL CUEVAS SAEZ (P-5.1) / 994995054</t>
  </si>
  <si>
    <t>OHLA (IVAN BERROETA)</t>
  </si>
  <si>
    <t>58 P. 1</t>
  </si>
  <si>
    <t>59 P. 1</t>
  </si>
  <si>
    <t>60 P. 10</t>
  </si>
  <si>
    <t>TOQUE PITO</t>
  </si>
  <si>
    <t>TRABAJOS DE TOPOGRAFIA (VÍAS-CATENARIA), INSPECCION DE CAMARAS SEÑALIZACION - ROCE E ESCARPE - RETIRO Y ARMADO DE CONFINAMIENTO CRUCE COHRANE - SANTA SOFIA. AUTORIZADOS SOLO TRABAJOS FUERA DE 2,20 M.  / ALVARO CABEZAS GONZÁLEZ (P-5.1) / 954370412</t>
  </si>
  <si>
    <t>LEVANTAMIENTO TOPOGRAFICO (VÍAS-CATENARIA)- TRABAJOS INSPECCION DE CAMARAS Y DUCTOS , EXCAVACIONES Y ATRAVIESOS PARA INSTALACION DE DUCTOS Y CAMARAS DE SEÑALIZACION(MINI -RETROEXCAVADORA)   CRUCE COHRANE - SANTA SOFIA / ALVARO CABEZAS GONZÁLEZ (P-5.1) / 954370412</t>
  </si>
  <si>
    <t>CONCEPCIÓN</t>
  </si>
  <si>
    <t>60 P. 1</t>
  </si>
  <si>
    <t>67 P. 1</t>
  </si>
  <si>
    <t>VÍA 2</t>
  </si>
  <si>
    <t>61 P. 1</t>
  </si>
  <si>
    <t>66 P. 1</t>
  </si>
  <si>
    <t>72 P. 1</t>
  </si>
  <si>
    <t>MANTENIMIENTO GENERAL DE PAN AUTOMATICO E-100 (PAN SANTA SOFIA) / NICOLAS VILLALOBOS (P-5.1) / 966930227</t>
  </si>
  <si>
    <t>69 P. 8</t>
  </si>
  <si>
    <t>69 P. 11</t>
  </si>
  <si>
    <t>10 km/h</t>
  </si>
  <si>
    <t>CRUZAMIENTO CON FRACTURA</t>
  </si>
  <si>
    <t>69 P. 15</t>
  </si>
  <si>
    <t>69 P. 20</t>
  </si>
  <si>
    <t>TRABAJOS FUERA DE VÍA CEPA 13. SERVICIO RETIRO DE LA INFRAESTRUCTURA DE CATENARIA. AUTORIZADOS SOLO TRABAJOS FUERA DE 2,20 M.  / JOSE VALENZUELA (P-5.1) / 9 86889096</t>
  </si>
  <si>
    <t>OHLA (RODRIGO RAMOS J.)</t>
  </si>
  <si>
    <t>TRABAJOS FUERA DE VÍA CEPA 13 / JOSE VALENZUELA (P-5.1) / 9 86889096</t>
  </si>
  <si>
    <t>VÍA 8-B</t>
  </si>
  <si>
    <t>69 P. 30</t>
  </si>
  <si>
    <t>70 P. 4</t>
  </si>
  <si>
    <t>SE ENTREGA EN OPERACIÓN COLA DE MANIOBRAS 8-B Y EL DVR.A50, CON UN LARGO ÚTIL DE 81,50 MTS, PARA LOCOMOTORAS DIESEL EFESUR Y EFE (OTRAS LOCOMOTORAS DIESEL, DEBERÁN SER AUTORIZADAS POR GOF)</t>
  </si>
  <si>
    <t>70 P. 1</t>
  </si>
  <si>
    <t>MANTENIMIENTO DE CIRCUITOS DE VIAS CON CAJAS DE SINTONÍA(CVS1C,CVA24,CVS1B,CVA2,CVA4C, CAMBIO DE LAZOS,REVISION Y ORDENAMIENTO DE CABLEADO CTCV4,CT6) EST.CONCEPCION / MANUEL RIQUELME (P-5.1) / 936856982</t>
  </si>
  <si>
    <t>70 P. 3</t>
  </si>
  <si>
    <t>70 P. 13</t>
  </si>
  <si>
    <t xml:space="preserve"> IDENTIFICACIÓN DE ELEMENTOS ELECTRICOS EN ANDEN 1 PARA CONFECCIÓN DE PLANO ELÉCTRICO (TIPO DE CABLE, TIPO DE CAÑERÍA, TIPO BANDEJA) SE DEBE SUBIR EN ESCALA A INSPECCIONAR BANDEJA INSTALADA. TRABAJOS FUERA DE FAJA VÍA. REPARACIÓN TECHO SALA ELÉCTRICA ESTACIÓN. INSPECCIÓN DE VÍA, TOPOGRAFIA.  AUTORIZADOS SOLO TRABAJOS FUERA DE 2,20 M.  / CARLOS LARA (P-5.1) / 995452749</t>
  </si>
  <si>
    <t>GLOBEICF (GONZALO ITURRA)</t>
  </si>
  <si>
    <t>70 P. 10</t>
  </si>
  <si>
    <t>70 P. 11</t>
  </si>
  <si>
    <t>FUE REEMPLAZADA LA AGUJA Y EL PROTECTOR DE AGUJA DERECHO. PREVENCIÓN DE VELOCIDAD PARA TRENES DE CARGA Y PASAJEROS. POSICION A REVERSO</t>
  </si>
  <si>
    <t>VARIANTE CC-LQ</t>
  </si>
  <si>
    <t>71 P. 3</t>
  </si>
  <si>
    <t>PASAJEROS 20 km/h,          CARGA 20 km/h</t>
  </si>
  <si>
    <t>INSTALACION DE DURMIENTES COMUNES , CORREGIR TROCHA ( VARIANTE CONCEPCION- LIRQUEN HASTA LA CL) / ANGELA EPUYAO (P-5.1) / 9 68721986</t>
  </si>
  <si>
    <t>CTA (IGNACIO RETAMAL)</t>
  </si>
  <si>
    <t>VARIANTE BB-EZ</t>
  </si>
  <si>
    <t>0 P. 19</t>
  </si>
  <si>
    <t>71 P. 19</t>
  </si>
  <si>
    <t>VARIANTE BB-LQ</t>
  </si>
  <si>
    <t>INCLUIDO DVR A-12 (15-07-2023) EGLI</t>
  </si>
  <si>
    <t>71 P. 22</t>
  </si>
  <si>
    <t>ACTIVIDADES DE PROYECTO AUMENTO DE CAPACIDAD DEL BIOTREN: NORMALIZACIÓN DE OBSERVACIONES DE TENDIDO DE ALIMENTADOR, CONEXIONADO A PORTAL 3KV.  / ALEJANDRO ALBORNOZ  (P-5.1) / 984165419</t>
  </si>
  <si>
    <t>ICIL ICAFAL (MARCO OSSES)</t>
  </si>
  <si>
    <t>EL ARENAL</t>
  </si>
  <si>
    <t>73 P. 1</t>
  </si>
  <si>
    <t>74 P. 1</t>
  </si>
  <si>
    <t>81 P. 1</t>
  </si>
  <si>
    <t>82 P. 1</t>
  </si>
  <si>
    <t>PATIO</t>
  </si>
  <si>
    <t>81 P. 33</t>
  </si>
  <si>
    <t>83 P. 6</t>
  </si>
  <si>
    <t>NO DESPACHAR MÁQUINAS ELÉCTRICAS</t>
  </si>
  <si>
    <t>DEC #2925 Y #2926, NO RECIBIR NI DESPACHAR MÁQUINAS ELÉCTRICAS A PATIO ESTACIÓN EL ARENAL</t>
  </si>
  <si>
    <t>DEC</t>
  </si>
  <si>
    <t>83 P. 1</t>
  </si>
  <si>
    <t>VÍA 20</t>
  </si>
  <si>
    <t>82 P. 13</t>
  </si>
  <si>
    <t>83 P. 3</t>
  </si>
  <si>
    <t>DESVIADOR 113 OPERATIVO. DESVÍO 20 A 10 KM/H EN TODA SU EXTENSIÓN PARA TODO MÓVIL. NO INGRESAR NI SALIR DE SAN VICENTE CON EQUIPO POR EL DESVÍO 20 (SÓLO MANIOBRAS DE PATIO Y CARGA DE COMBUSTIBLE).</t>
  </si>
  <si>
    <t>EFE (JORGE TORRES)</t>
  </si>
  <si>
    <t>MERCADO</t>
  </si>
  <si>
    <t>84 P. 1</t>
  </si>
  <si>
    <t>50 km/h</t>
  </si>
  <si>
    <t>84 P. 17</t>
  </si>
  <si>
    <t>84 P. 19</t>
  </si>
  <si>
    <t>FALTA GEOMETRÍA, TERRENO COMLATADO</t>
  </si>
  <si>
    <t>INFRAESTRUCTURA</t>
  </si>
  <si>
    <t>INDUSTRIAS DERIVADAS</t>
  </si>
  <si>
    <t>REEMPLAZO DE DURMIENTE COMÚN ACCESO PUENTE HIGUERAS / DIEGO MENDOZA (P-5.1) / 9 32440690</t>
  </si>
  <si>
    <t>PREVENCIÓN VÍA DE 10 KM/HR, ENTRE KM. 3 AL 3,300 HASTA NUEVA ORDEN.</t>
  </si>
  <si>
    <t>DESVIADOR 4</t>
  </si>
  <si>
    <t>10 km/h Y PROHIBICIÓN DE MANIOBRA</t>
  </si>
  <si>
    <t>(POR DESRIELO) PROHIBICION DE MANIOBRA DESDE LINEA DESVIO A DESVIO OXY L-1 Y VICEVERSA</t>
  </si>
  <si>
    <t>VÍA 4</t>
  </si>
  <si>
    <t>0 P. 1</t>
  </si>
  <si>
    <t>1 P. 1CD</t>
  </si>
  <si>
    <t>BIOBÍO</t>
  </si>
  <si>
    <t>VÍA1</t>
  </si>
  <si>
    <t>0 P. 17</t>
  </si>
  <si>
    <t>2 P. 17</t>
  </si>
  <si>
    <t>SELLADO DE TAPAS POR TENDIDO DE FOA Y FOS (SECTOR PUENTE BIOBIO) / JUAN BRAVO INZUNZA (P5.1) / 973006165</t>
  </si>
  <si>
    <t>MARSUR CHILE (NATHALIE AGUILERA)</t>
  </si>
  <si>
    <t>3 P. 17</t>
  </si>
  <si>
    <t>SELLADO DE TAPAS POR TENDIDO DE FOA Y FOS (SECTOR PUENTE BIOBIO) / JUAN BRAVO INZUNZA (P-5.1) / 973006165</t>
  </si>
  <si>
    <t>VÍA 1 Y 2</t>
  </si>
  <si>
    <t>3 P. 1</t>
  </si>
  <si>
    <t>4 P. 1</t>
  </si>
  <si>
    <t>3 P. 53</t>
  </si>
  <si>
    <t>3 P. 58</t>
  </si>
  <si>
    <t>ACTIVIDADES DE PROYECTO AUMENTO DE CAPACIDAD DEL BIOTREN: TOPOGRAFÍA PARA INSTALACIÓN DE POSTES, EXCAVACIONES Y FUNDACIONES (PARA INSTALACIÓN DE POSTES) Y ACTIVIDADES CONEXAS ASOCIADAS, ENSAYOS DE MECÁNICA DE SUELOS SI APLICA. AMBAS VÍAS  / VÍCTOR MARTÍNEZ QUINTANA (P-5.1) / 982703584</t>
  </si>
  <si>
    <t>BOCA SUR</t>
  </si>
  <si>
    <t>5 P. 16</t>
  </si>
  <si>
    <t>5 P. 22</t>
  </si>
  <si>
    <t>ACTIVIDADES DE PROYECTO AUMENTO DE CAPACIDAD DEL BIOTREN: TOPOGRAFÍA PARA INSTALACIÓN DE POSTES, EXCAVACIONES Y FUNDACIONES (PARA INSTALACIÓN DE POSTES) Y ACTIVIDADES CONEXAS ASOCIADAS, ENSAYOS DE MECÁNICA DE SUELOS SI APLICA. AMBAS VÍAS / VÍCTOR MARTÍNEZ QUINTANA (P-5.1) / 982703584</t>
  </si>
  <si>
    <t>6 P. 1</t>
  </si>
  <si>
    <t>7 P. 1</t>
  </si>
  <si>
    <t>6 P. 30</t>
  </si>
  <si>
    <t>TRASLADO DE CERCO, EXCAVACION, MEJORAMIENTO BAJO CANTILEVER, INSTALACION DESCARGADORES DE INTERVALO Y TOPOGRAFIA. / CONSTRUCION RAMPAS DE ACCESO PUENTE INDUSTRIAL LOS BATROS. / JENNY SEGUEL SOTO (P-5.1) / 932030208</t>
  </si>
  <si>
    <t>GRUPO PUENTE  (JENNY SEGUEL SOTO)</t>
  </si>
  <si>
    <t>7 P. 10</t>
  </si>
  <si>
    <t>7 P. 26</t>
  </si>
  <si>
    <t>ACTIVIDADES DE PROYECTO AUMENTO DE CAPACIDAD DEL BIOTREN: TOPOGRAFÍA PARA INSTALACIÓN DE POSTES, EXCAVACIONES Y FUNDACIONES (PARA INSTALACIÓN DE POSTES) Y ACTIVIDADES CONEXAS ASOCIADAS, ENSAYOS DE MECÁNICA DE SUELOS SI APLICA. AMBAS VÍAS ESTACIÓN ALBORADA. / MAXIMILIANO MARCHANT (P-5.1) / 956672304</t>
  </si>
  <si>
    <t>LOMAS COLORADAS</t>
  </si>
  <si>
    <t>8 P. 2</t>
  </si>
  <si>
    <t>8 P. 16</t>
  </si>
  <si>
    <t>ACTIVIDADES DE PROYECTO AUMENTO DE CAPACIDAD DEL BIOTREN: TOPOGRAFÍA PARA INSTALACIÓN DE POSTES, EXCAVACIONES Y FUNDACIONES (PARA INSTALACIÓN DE POSTES) Y ACTIVIDADES CONEXAS ASOCIADAS, ENSAYOS DE MECÁNICA DE SUELOS SI APLICA. AMBAS VÍAS ESTACIÓN COSTA MAR. / PABLO DELGADILLO (P-5.1) / 954478703</t>
  </si>
  <si>
    <t>9 P. 17</t>
  </si>
  <si>
    <t>11 P. 17</t>
  </si>
  <si>
    <t>REPARACION FOS BOCA SUR - LOMAS COLORADAS / DANIEL PROVOSTE (P-5.1) / 9 3444 7766</t>
  </si>
  <si>
    <t>MANTENIMIENTO DE CIRCUITOS DE VIAS CON CAJAS DE SINTONÍA (CV2A,CV1A,CV3B,CVA6A,CVA6B)EST.LOMAS COLORADAS / JOSE RUIZ  (P-5.1) / 956660091</t>
  </si>
  <si>
    <t>11 P. 1</t>
  </si>
  <si>
    <t>12 P. 1</t>
  </si>
  <si>
    <t>SANAMIENTO DE VIA , APORTE DE BALASTO,  NIVELCION MANUAL / ERWIN ROA (P-5.1) / 9 46785082</t>
  </si>
  <si>
    <t>12 P. 3</t>
  </si>
  <si>
    <t>12 P. 5</t>
  </si>
  <si>
    <t>ALTO FLUJO DE ESCOLARES, COLEGIO AMANECER</t>
  </si>
  <si>
    <t>EFE SUR</t>
  </si>
  <si>
    <t>ESCUADRÓN</t>
  </si>
  <si>
    <t>CRUCE</t>
  </si>
  <si>
    <t>16 P. 15</t>
  </si>
  <si>
    <t>16 P. 17</t>
  </si>
  <si>
    <t>15 km/h Y TOQUE PITO</t>
  </si>
  <si>
    <t>(PAN VIVERO LA POSADA) SIN PROTECCIÓN DE GUARDA CRUZADA, NI SISTEMA AUTOMATICO</t>
  </si>
  <si>
    <t>JUMESA</t>
  </si>
  <si>
    <t>18 P. 1</t>
  </si>
  <si>
    <t>19 P. 1</t>
  </si>
  <si>
    <t>18 P. 5</t>
  </si>
  <si>
    <t>20 P. 5</t>
  </si>
  <si>
    <t>MANTENIMIENTO DE LUBRICACIÓN Y VERIFICACIÓN DE AGUJAS Y DESRIELADORES(A1,A3,A4,A2)EST.ESCUADRON / JOSE RUIZ  (P-5.1) / 956660091</t>
  </si>
  <si>
    <t>19 P. 10</t>
  </si>
  <si>
    <t>19 P. 20</t>
  </si>
  <si>
    <t>CAMBIO DE CANAL EN TECHUMBRE DE ANDEN 2 SECTOR BOLETERIA, INSTALACIÓN DE BANDEJA ELÉCTRICA EN AMBOS ANDENES, TRABAJOS DE CONSERVACIÓN GENERAL EN ESTACION HITO GALVARINO EN REGIMEN DE OPERACIONES DE MANTENIMIENTO CON TRAFICO PROGRAMADO. / PABLO BURGOS CESPEDES (P-5.1) / 991759221</t>
  </si>
  <si>
    <t>GLOBE ICF (RUDOLF CHRIST)</t>
  </si>
  <si>
    <t>LAGUNILLAS</t>
  </si>
  <si>
    <t>23 P. 31</t>
  </si>
  <si>
    <t>23 P. 33</t>
  </si>
  <si>
    <t>(PAN LOS MOLINEROS) ALTA AFLUENCIA DE PUBLICO POR ACTIVIDADES (COLEGIO AMANECER) + FUNDACIÓN METODISTA DE CORONEL</t>
  </si>
  <si>
    <t>CORONEL</t>
  </si>
  <si>
    <t>MANTENIMIENTO GENERAL DE PAN BARRERA AUTOMATICA ICF (PAN HEROES DE LA CONCEPCION) / BRIAN MONROY (P-5.1) / 986406721</t>
  </si>
  <si>
    <t>25 P. 1</t>
  </si>
  <si>
    <t>26 P. 1</t>
  </si>
  <si>
    <t>MANTENIMIENTO GENERAL DE PAN BARRERA AUTOMATICA ICF (PAN LOTA SUR) / BRIAN MONROY (P-5.1) / 986406721</t>
  </si>
  <si>
    <t>27 P. 1</t>
  </si>
  <si>
    <t>27 P. 20</t>
  </si>
  <si>
    <t>MANTENIMIENTO DE LUBRICACIÓN Y VERIFICACIÓN DE AGUJAS Y DESRIELADORES (A1,A3,A5,A7,A9) EST. CORONEL / NICOLAS VILLALOBOS (P-5.1) / 966930227</t>
  </si>
  <si>
    <t>PREPARACION DE SOLDADURA ALUMINOTERMICA / ERICK CONTRERAS (P-5.1) / 9 97746919</t>
  </si>
  <si>
    <t>SEÑALES Y LÍNEA DE CONTACTO</t>
  </si>
  <si>
    <t>35 P. 17</t>
  </si>
  <si>
    <t>46 P. 11</t>
  </si>
  <si>
    <t>OCUPACIÓN ORDINARIA DE VÍA</t>
  </si>
  <si>
    <t>RENOVACIÓN CATENARIA / SE SOLICITA DESCONEXIÓN DE 3KV DESDE SUB-ESTACIÓN QUILACOYA INCLUYENDO ESTACIÓN DE QUILACOYA HASTA ESTACIÓN HUALQUI CON ABERTURA DE CUERNO N° 5 Y 2.3 KV DESDE SUB-ESTACIÓN QUILACOYA HASTA PK 59/20
REGIMEN: OCUPACION ORDINARIA / JEAN FRANCO ARRIAGADA (P-6) / 967149202</t>
  </si>
  <si>
    <t>CONSORCIO (ARTURO FLORES)</t>
  </si>
  <si>
    <t>PRINCIPAL Y LOCAL</t>
  </si>
  <si>
    <t>36 P. 3</t>
  </si>
  <si>
    <t>RENOVACIÓN CATENARIA / GUSTAVO FLORES (P-5.1) / 9 88473371</t>
  </si>
  <si>
    <t>37 P. 13</t>
  </si>
  <si>
    <t>69 P. 9</t>
  </si>
  <si>
    <t>MANTENIMIENTO DE CORRECCIÓN DEL ZIG – ZAG DEL HILO DE CONTACTO EN VEHICULO                                                                                   MANTENIMIENTO DE AISLADORES DE CATENARIAS                                                                                                                       MANTENIMIENTO DE ROCE / SE SOLICITA DESCONEXIÓN DE 3KV DESDE PV QUILACOYA-HUALQUI HASTA AMBAS VÍAS CONCEPCIÓN-CHIGUAYANTE. DESCONEXIÓN DE 2,3KV DESDE S/E QUILACOYA HASTA PK 59/20. ADEMÁS 2,3KV DESDE PK 69/9 HASTA PK 59/20. / ERASMO LEIVA (P-5.1), JESUS NAVEA (P-5.1)/ (P-6) / 998847489, 936503046 / 2300V DESDE 37/18 AL 59/20, SI NECESITAN DESDE S/E QU NECESITAN ACUÑAR CAMBIOS EN QUILACOYA</t>
  </si>
  <si>
    <t>CTA SPA (RAMON QUERALES LEAL)</t>
  </si>
  <si>
    <t>68 P. 35</t>
  </si>
  <si>
    <t>APOYO VÍAS  / SE SOLICITAN LOS 3000V DESDE AMBAS PLENAS VÍAS CONCEPCIÓN - CHIGUAYANTE HASTA LA PLENA VÍA HUALQUI - QUILACOYA Y 2300V DESDE KM 59/20 AL 46/3 (2,3KV SE SOLICITARÁN SOLO DE SER NECESARIOS O SE SECCIONARÁ EN KM 53/11) / JUAN C. MOLINA (P-6) / 977945466</t>
  </si>
  <si>
    <t>EFE (FERNANDO ROJAS JIMÉNEZ)</t>
  </si>
  <si>
    <t>37 P. 14</t>
  </si>
  <si>
    <t>27 P. 47</t>
  </si>
  <si>
    <t>ACTIVIDADES DE PROYECTO AUMENTO DE CAPACIDAD DEL BIOTREN: INSTALACIÓN DE SOPORTES PARA ALIMENTADOR DE REFUERZO Y TENDIDO DE CABLE DE ALUMINIO, ADEMÁS DE CAMBIO DE REGISTRO A MÉNSULAS, TENDIDO DE SEGUNDO HILO DE CONTACTO, PENDOLADO, INSTALACIÓN DE SENSORES Y GATEWAY, CONEXIONES DE ALIMENTADOR A PORTALES 3KV, E INSTALACIÓN DE CONEXIONES DE ALIMENTACIÓN A CATENARIA DE ALIMENTADOR DE REFUERZO. INSTALACIÓN DE POSTES EN ESTACIÓN CCP.  / SE SOLICITA DESCONEXIÓN DE 3000VCC PV QUILACOYA - CC CONSIDERANDO PATIO HASTA CORONEL Y 2300VCA DESDE 59/20 A CCP HASTA LOMAS COLORADAS  Y 12000VCA DESDE SER CONCEPCIÓN A PUENTE BIO BIO // REGIMEN OCUPACIÓN ORDINARIA DE VÍA / LUIS GARAY (P-6) / 943441848 / SE LE COMUNICA AL CONTRATISTA QUE DEBERA ENVIAR LAS PROXIMAS SEMANAS CON SOLO 1 P6.</t>
  </si>
  <si>
    <t>ACTIVIDADES DE PROYECTO AUMENTO DE CAPACIDAD DEL BIOTREN: INSTALACIÓN DE SOPORTES PARA ALIMENTADOR DE REFUERZO Y TENDIDO DE CABLE DE ALUMINIO, ADEMÁS DE CAMBIO DE REGISTRO A MÉNSULAS, TENDIDO DE SEGUNDO HILO DE CONTACTO, PENDOLADO, INSTALACIÓN DE SENSORES Y GATEWAY, CONEXIONES DE ALIMENTADOR A PORTALES 3KV, E INSTALACIÓN DE CONEXIONES DE ALIMENTACIÓN A CATENARIA DE ALIMENTADOR DE REFUERZO. INSTALACIÓN DE POSTES EN ESTACIÓN CCP.  / SE SOLICITA DESCONEXIÓN DE 3000VCC PV QUILACOYA - CC CONSIDERANDO PATIO HASTA CORONEL Y 2300VCA DESDE CC HASTA LOMAS COLORADAS  Y 12000VCA DESDE SER CONCEPCIÓN A PUENTE BIO BIO // ACTIVIDADES DE PROYECTO REEMPLAZO DE COMPONENTES DE CATENARIA Y AMPLIACIÓN DE CAPACIDAD SERVICIO FERROVIARIO BIOTRÉN ENTRE CONCEPCIÓN - CORONEL / LUIS GARAY (P-6) / 943441848 / SE LE COMUNICA AL CONTRATISTA QUE DEBERA ENVIAR LAS PROXIMAS SEMANAS CON SOLO 1 P6.</t>
  </si>
  <si>
    <t>84 P. 23</t>
  </si>
  <si>
    <t>MANTENIMIENTO DE CORRECCIÓN DEL ZIG – ZAG DEL HILO DE CONTACTO EN VEHICULO                                                       MANTENIMIENTO DE REVISIÓN Y MANTENCIÓN DE CONEXIONES ELÉCTRICAS                                                                                                                                                                                            MANTENIMIENTO DE TRIÁNGULOS / SE SOLICITA DESCONEXIÓN DE 3KV DESDE ESTACION CONCEPCIÓN HASTA PATIO TALCAHUANO AMBAS VÍAS (INCLUYE PATIO ESTACION CONCEPCION). ADEMÁS 2,3KV DESDE S/E CONCEPCIÓN HASTA EST. ARENAL. /  IVAN FUENTES (P-5.1), LORENA ORTIZ (P-5.1), LUIS GARCIA (P-6) / 945016983, 961488935, 982384024</t>
  </si>
  <si>
    <t>REEMPLAZO DE DURMIENTE COMÚN ACCESO PUENTE HIGUERAS / DIEGO MENDOZA (P-5.1) / 9 32440690 / VENTANA DE TRABAJO BAJO COORDINACIÓN CON CONTROLADOR DE TRÁFICO.</t>
  </si>
  <si>
    <t>CTA  (IGNACIO RETAMAL)</t>
  </si>
  <si>
    <t>VÍA 4 / VÍA 1 TÚNEL</t>
  </si>
  <si>
    <t>69 P. 19</t>
  </si>
  <si>
    <t>ACTIVIDADES DE PROYECTO AUMENTO DE CAPACIDAD DEL BIOTREN: INSTALACIÓN DE POSTES, VESTIDO DE POSTES ENTRE CCP Y CRUCE PEDRO LEÓN GALLO. / ALEJANDRO ALBORNOZ (P-5.1) / 984165419 / VENTANA DE TRABAJO BAJO COORDINACIÓN CON CONTROLADOR DE TRÁFICO.</t>
  </si>
  <si>
    <t>VÍA 4 / VÍA 2 TÚNEL</t>
  </si>
  <si>
    <t>1 P. 1CI</t>
  </si>
  <si>
    <t>LÍNEA DE CONTACTO</t>
  </si>
  <si>
    <t>70 P. 22</t>
  </si>
  <si>
    <t>27 P. 46</t>
  </si>
  <si>
    <t>REPARACIÓN TECHUMBRE ANDENES ESTACIÓN HITO GALVARINO PK 19P16 / SE SOLICITAN 3000V DESDE PLENA VÍA 4 CONCEPCIÓN - BIO BIO (KM 70/22) HASTA AMBAS PATIO ESTACIÓN CORONEL / PABLO YAÑEZ (P-6), PABLO BURGOS (P-5.1) / 999692084, 991759221</t>
  </si>
  <si>
    <t>27 P. 49</t>
  </si>
  <si>
    <t>MANTENIMIENTO DE AISLADORES DE LINEAS DE MT Y AT                                                                                                 MANTENIMIENTO DE AISLADORES DE CATENARIA                                                                                                                                MANTENIMIENTO, CORRECIÓN Y LUBRICACIÓN EQUIPOS TENSORES (CONTRAPESOS Y RESORTE)                                                                                                                       MANTENIMIENTO DE REPINTADO DE POSTES / SE SOLICITA DESCONEXIÓN DE 3KV DESDE PV CONCEPCION HASTA EST. CORONEL AMBAS VÍAS 1 Y 2. ADEMÁS 2,3KV S/E CONCEPCION A LOMAS COLORADAS, MÁS 2,3KV DESDE S/E ESCUADRÓN A CORONEL. /   NICOLAS DIAZ (P-5.1), OSCAR LEIVA (P-5.1), ISMAEL SOTO (P-6) / 9934950474, 973191983, 9920503735</t>
  </si>
  <si>
    <t>SELLADO DE TAPAS POR TENDIDO DE FOA Y FOS (SECTOR PUENTE BIOBIO) / SE SOLICITA DESCONEXION 3KV DESDE PV CC AMBAS VIAS 1,2 HASTA CORONEL + 2,3KV DESDE S/E CONCEPCION A LOMAS COLORADAS (P5.1 JUAN BRAVO 973006165) / JUAN BRAVO (P-5.1), RODRIGO GOMEZ (P-6) / 973006165, 998634583  / DESC MAXIMO 04:30 HRS</t>
  </si>
  <si>
    <t>APOYO VÍAS / SE SOLICITAN 3KV DESDE PLENA VÍA 4 CONCEPCIÓN -. BIO BIO (70/22) HASTA  PATIO ESTACIÓN CORONEL MÁS 2300V DESDE SE ESCUADRÓN A CORONEL (2,3KV SE EVALUARÁ DESCONEXIÓN, SOLO DE SER NECESARIA) / MARTÍN CASTRO (P-6) / 934021254</t>
  </si>
  <si>
    <t>ACTIVIDADES DE PROYECTO AUMENTO DE CAPACIDAD DEL BIOTREN:NORMALIZACIÓN DE OBSERVACIONES DE TENDIDO ALIMENTADOR, ADEMÁS DE CAMBIO DE REGISTRO A MÉNSULAS, TENDIDO DE SEGUNDO HILO DE CONTACTO, PENDOLADO, INSTALACIÓN DE SENSORES Y GATEWAY, CONEXIONES DE ALIMENTADOR A PORTALES 3KV, E INSTALACIÓN DE CONEXIONES DE ALIMENTACIÓN A CATENARIA DE ALIMENTADOR DE REFUERZO. DESDE PUENTE BIO BIO A ALBORADA. / RODOLFO GONZÁLEZ (P-5.1) / 982703584</t>
  </si>
  <si>
    <t>ACTIVIDADES DE PROYECTO AUMENTO DE CAPACIDAD DEL BIOTREN:NORMALIZACIÓN DE OBSERVACIONES DE TENDIDO ALIMENTADOR, ADEMÁS DE CAMBIO DE REGISTRO A MÉNSULAS, TENDIDO DE SEGUNDO HILO DE CONTACTO, PENDOLADO, INSTALACIÓN DE SENSORES Y GATEWAY, CONEXIONES DE ALIMENTADOR A PORTALES 3KV, E INSTALACIÓN DE CONEXIONES DE ALIMENTACIÓN A CATENARIA DE ALIMENTADOR DE REFUERZO. DESDE PUENTE BIO BIO A ALBORADA. / JOSUE ELGUETA (P-5.1) / 948873616</t>
  </si>
  <si>
    <t>7 P. 9</t>
  </si>
  <si>
    <t>7 P. 12</t>
  </si>
  <si>
    <t>INSTALACIÓN DE POSTES Y  LUMINARIAS SOLARES, DEMARCACIÓN DE PISO E INSTALACIÓN DE TACHAS EN CRUCE MICHAIHUE / FABIÁN BASTÍAS CISTERNA (P-5.1) / 981936666 / VENTANA DE TRABAJO BAJO COORDINACIÓN CON CONTROLADOR DE TRÁFICO.</t>
  </si>
  <si>
    <t>INNOVA PROYECTOS (NESTOR CARRASCO)</t>
  </si>
  <si>
    <t>INSTALACIÓN DE POSTES Y  LUMINARIAS SOLARES, DEMARCACIÓN DE PISO E INSTALACIÓN DE TACHAS EN CRUCE MICHAIHUE / LEONARDO MARTÍNEZ (P-5.1) / 9 7819 8959 / VENTANA DE TRABAJO BAJO COORDINACIÓN CON CONTROLADOR DE TRÁFICO.</t>
  </si>
  <si>
    <t>SANAMIENTO DE VIA , APORTE DE BALASTO,  NIVELCION MANUAL / ERWIN ROA (P-5.1) / 9 46785082 / VENTANA DE TRABAJO BAJO COORDINACIÓN CON CONTROLADOR DE TRÁFICO.</t>
  </si>
  <si>
    <t>16 P. 1</t>
  </si>
  <si>
    <t>ACTIVIDADES DE PROYECTO AUMENTO DE CAPACIDAD DEL BIOTREN: ATENCIÓN DE PUNCH LIST, INSTALACIÓN DE SENSORES Y GATEWAY, CONEXIONES DE ALIMENTACIÓN ALIMENTADOR DE REFUERZO A CATENARIA DESDE ALBORADA A LOMAS COLORADAS. / JUAN HENRÍQUEZ (P-5.1) / 984949796</t>
  </si>
  <si>
    <t>21 P. 1</t>
  </si>
  <si>
    <t>ACTIVIDADES DE PROYECTO AUMENTO DE CAPACIDAD DEL BIOTREN: PENDOLADO, ATENCIÓN DE PUNCH LIST, INSTALACIÓN DE SENSORES Y GATEWAY, CONEXIONES DE ALIMENTACIÓN ALIMENTADOR DE REFUERZO A CATENARIA. / JONATHAN JEREZ (P-5.1) / 995129161</t>
  </si>
  <si>
    <t>27 P. 41</t>
  </si>
  <si>
    <t>ACTIVIDADES DE PROYECTO AUMENTO DE CAPACIDAD DEL BIOTREN:  INSTALACIÓN DE SOPORTES PARA ALIMENTADOR DE REFUERZO Y TENDIDO DE CABLE DE ALUMINIO, ADEMÁS DE CAMBIO DE REGISTRO A MÉNSULAS, TENDIDO DE SEGUNDO HILO DE CONTACTO, PENDOLADO, INSTALACIÓN DE SENSORES Y GATEWAY, CONEXIONES DE ALIMENTADOR A PORTALES 3KV, E INSTALACIÓN DE CONEXIONES DE ALIMENTACIÓN A CATENARIA DE ALIMENTADOR DE REFUERZO.  ENTRE ESTACIONES ESCUADRÓN A CORONEL POR. / ISAAC FUENTES (P-5.1) / 972293818</t>
  </si>
  <si>
    <t>PREPARACION DE SOLDADURA ALUMINOTERMICA / ERICK CONTRERAS (P-5.1) / 9 97746919 / VENTANA DE TRABAJO BAJO COORDINACIÓN CON CONTROLADOR DE TRÁFICO.</t>
  </si>
  <si>
    <t>S/E ESCUADRON</t>
  </si>
  <si>
    <t>SUBESTACIÓN</t>
  </si>
  <si>
    <t>TENDIDO DE CONDUCTORES EN TRINCHERA DE SALA ELECTRICA Y CONEXIONADO DE ALIMENTADORES  / SE SOLICITA DESCONECTAR BARRA DE 66KV DESDE SECC. 189M ABIERTO CON PUESTA A TIERRA HASTA SECC. TIPO CUERNO 189 AL 1 AL 4 MÁS SECC. 189IG DE 2300V / BORIS CORREA (P-6), JONATHAN VILLABLANCA (P-6), LUIS RIVERA (P-6), OMAR ULLOA (P-6) / 944701595, 938941810, 964569235, 938941810</t>
  </si>
  <si>
    <t>SIEMENS (ESTEBAN CHAMBE)</t>
  </si>
  <si>
    <t>DESMONTAJE DE CELDAS Y CONDUCTORES DE CORRIENTE CONTINUA FUERA DE SERVICIO DESDE SALA ELÉCTRICA  / SE SOLICITA DESCONECTAR BARRA DE 66KV DESDE SECC. 189M ABIERTO CON PUESTA A TIERRA HASTA SECC. TIPO CUERNO 189 AL 1 AL 4 MÁS SECC. 189IG DE 2300V / BORIS CORREA (P-6), JONATHAN VILLABLANCA (P-6), LUIS RIVERA (P-6), OMAR ULLOA (P-6) / 944701595, 938941810, 964569235, 938941810</t>
  </si>
  <si>
    <t xml:space="preserve">Emilio Barriga Alarcón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</si>
</sst>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F800]dddd\,\ mmmm\ dd\,\ yyyy"/>
    <numFmt numFmtId="165" formatCode="dd/mm/yy;@"/>
    <numFmt numFmtId="166" formatCode="0.000"/>
  </numFmts>
  <fonts count="4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indexed="8"/>
      <name val="Calibri"/>
      <family val="2"/>
    </font>
    <font>
      <b/>
      <sz val="11"/>
      <color indexed="8"/>
      <name val="Calibri"/>
      <family val="2"/>
    </font>
    <font>
      <b/>
      <sz val="16"/>
      <color indexed="8"/>
      <name val="Calibri"/>
      <family val="2"/>
    </font>
    <font>
      <b/>
      <sz val="12"/>
      <color indexed="8"/>
      <name val="Calibri"/>
      <family val="2"/>
    </font>
    <font>
      <sz val="11"/>
      <color theme="1"/>
      <name val="Calibri"/>
      <family val="2"/>
    </font>
    <font>
      <b/>
      <sz val="8"/>
      <name val="Calibri"/>
      <family val="2"/>
    </font>
    <font>
      <b/>
      <sz val="12"/>
      <name val="Calibri"/>
      <family val="2"/>
    </font>
    <font>
      <b/>
      <i/>
      <sz val="18"/>
      <name val="Calibri"/>
      <family val="2"/>
    </font>
    <font>
      <b/>
      <i/>
      <sz val="18"/>
      <color indexed="12"/>
      <name val="Calibri"/>
      <family val="2"/>
    </font>
    <font>
      <b/>
      <sz val="10"/>
      <name val="Calibri"/>
      <family val="2"/>
    </font>
    <font>
      <b/>
      <sz val="11"/>
      <name val="Calibri"/>
      <family val="2"/>
    </font>
    <font>
      <b/>
      <sz val="16"/>
      <name val="Calibri"/>
      <family val="2"/>
    </font>
    <font>
      <b/>
      <sz val="11"/>
      <color theme="1"/>
      <name val="Calibri"/>
      <family val="2"/>
    </font>
    <font>
      <b/>
      <sz val="14"/>
      <color indexed="8"/>
      <name val="Calibri"/>
      <family val="2"/>
    </font>
    <font>
      <b/>
      <sz val="18"/>
      <name val="Calibri"/>
      <family val="2"/>
    </font>
    <font>
      <b/>
      <u/>
      <sz val="18"/>
      <name val="Calibri"/>
      <family val="2"/>
    </font>
    <font>
      <u/>
      <sz val="11"/>
      <color theme="10"/>
      <name val="Calibri"/>
      <family val="2"/>
      <scheme val="minor"/>
    </font>
    <font>
      <sz val="10"/>
      <color indexed="8"/>
      <name val="Calibri"/>
      <family val="2"/>
    </font>
    <font>
      <sz val="10"/>
      <name val="Calibri"/>
      <family val="2"/>
    </font>
    <font>
      <b/>
      <sz val="18"/>
      <color indexed="8"/>
      <name val="Calibri"/>
      <family val="2"/>
    </font>
    <font>
      <sz val="11"/>
      <name val="Calibri"/>
      <family val="2"/>
    </font>
    <font>
      <b/>
      <sz val="10"/>
      <color theme="1"/>
      <name val="Calibri"/>
      <family val="2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b/>
      <sz val="14"/>
      <color rgb="FF000000"/>
      <name val="Calibri"/>
      <family val="2"/>
    </font>
    <font>
      <sz val="12"/>
      <color indexed="8"/>
      <name val="Calibri"/>
      <family val="2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0.5"/>
      <color theme="1"/>
      <name val="Calibri"/>
      <family val="2"/>
      <scheme val="minor"/>
    </font>
    <font>
      <u/>
      <sz val="10.5"/>
      <color theme="10"/>
      <name val="Calibri"/>
      <family val="2"/>
      <scheme val="minor"/>
    </font>
    <font>
      <sz val="10.5"/>
      <color indexed="8"/>
      <name val="Calibri"/>
      <family val="2"/>
    </font>
    <font>
      <sz val="10.5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0.5"/>
      <color theme="1"/>
      <name val="Calibri"/>
      <family val="2"/>
      <scheme val="minor"/>
    </font>
    <font>
      <b/>
      <u/>
      <sz val="11"/>
      <color rgb="FF002060"/>
      <name val="Calibri"/>
      <family val="2"/>
      <scheme val="minor"/>
    </font>
    <font>
      <sz val="11"/>
      <color indexed="8"/>
      <name val="Calibri"/>
      <family val="2"/>
    </font>
    <font>
      <b/>
      <u/>
      <sz val="12"/>
      <color rgb="FF000000"/>
      <name val="Calibri"/>
      <family val="2"/>
    </font>
    <font>
      <b/>
      <sz val="24"/>
      <color rgb="FF000000"/>
      <name val="Calibri"/>
      <family val="2"/>
    </font>
    <font>
      <b/>
      <u/>
      <sz val="16"/>
      <name val="Calibri"/>
      <family val="2"/>
    </font>
    <font>
      <b/>
      <sz val="18"/>
      <color rgb="FFC00000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auto="1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1" fillId="0" borderId="0"/>
    <xf numFmtId="0" fontId="18" fillId="0" borderId="0" applyNumberFormat="0" applyFill="0" applyBorder="0" applyAlignment="0" applyProtection="0"/>
    <xf numFmtId="0" fontId="1" fillId="0" borderId="0"/>
  </cellStyleXfs>
  <cellXfs count="184">
    <xf numFmtId="0" fontId="0" fillId="0" borderId="0" xfId="0"/>
    <xf numFmtId="0" fontId="6" fillId="0" borderId="0" xfId="0" applyFont="1"/>
    <xf numFmtId="14" fontId="8" fillId="3" borderId="1" xfId="1" applyNumberFormat="1" applyFont="1" applyFill="1" applyBorder="1" applyAlignment="1">
      <alignment horizontal="center" vertical="center" wrapText="1"/>
    </xf>
    <xf numFmtId="0" fontId="6" fillId="0" borderId="0" xfId="1" applyFont="1"/>
    <xf numFmtId="0" fontId="8" fillId="3" borderId="5" xfId="1" applyFont="1" applyFill="1" applyBorder="1" applyAlignment="1">
      <alignment horizontal="center" vertical="center" wrapText="1"/>
    </xf>
    <xf numFmtId="0" fontId="8" fillId="3" borderId="1" xfId="1" applyFont="1" applyFill="1" applyBorder="1" applyAlignment="1">
      <alignment horizontal="center" vertical="center" wrapText="1"/>
    </xf>
    <xf numFmtId="0" fontId="12" fillId="0" borderId="2" xfId="1" applyFont="1" applyBorder="1" applyAlignment="1">
      <alignment horizontal="center" vertical="center" wrapText="1"/>
    </xf>
    <xf numFmtId="14" fontId="12" fillId="0" borderId="2" xfId="1" applyNumberFormat="1" applyFont="1" applyBorder="1" applyAlignment="1">
      <alignment horizontal="center" vertical="center" wrapText="1"/>
    </xf>
    <xf numFmtId="20" fontId="12" fillId="0" borderId="2" xfId="1" applyNumberFormat="1" applyFont="1" applyBorder="1" applyAlignment="1">
      <alignment horizontal="center" vertical="center" wrapText="1"/>
    </xf>
    <xf numFmtId="165" fontId="12" fillId="0" borderId="2" xfId="1" applyNumberFormat="1" applyFont="1" applyBorder="1" applyAlignment="1">
      <alignment horizontal="center" vertical="center" wrapText="1"/>
    </xf>
    <xf numFmtId="0" fontId="11" fillId="3" borderId="9" xfId="1" applyFont="1" applyFill="1" applyBorder="1" applyAlignment="1">
      <alignment horizontal="center" vertical="center"/>
    </xf>
    <xf numFmtId="0" fontId="11" fillId="3" borderId="5" xfId="1" applyFont="1" applyFill="1" applyBorder="1" applyAlignment="1">
      <alignment horizontal="center" vertical="center"/>
    </xf>
    <xf numFmtId="0" fontId="3" fillId="0" borderId="21" xfId="1" applyFont="1" applyBorder="1"/>
    <xf numFmtId="0" fontId="8" fillId="0" borderId="21" xfId="1" applyFont="1" applyBorder="1" applyAlignment="1">
      <alignment vertical="center" wrapText="1"/>
    </xf>
    <xf numFmtId="164" fontId="4" fillId="0" borderId="2" xfId="1" applyNumberFormat="1" applyFont="1" applyBorder="1" applyAlignment="1">
      <alignment horizontal="center" vertical="center"/>
    </xf>
    <xf numFmtId="14" fontId="20" fillId="0" borderId="21" xfId="1" applyNumberFormat="1" applyFont="1" applyBorder="1" applyAlignment="1">
      <alignment horizontal="center" vertical="center" wrapText="1"/>
    </xf>
    <xf numFmtId="14" fontId="5" fillId="0" borderId="7" xfId="1" applyNumberFormat="1" applyFont="1" applyBorder="1" applyAlignment="1">
      <alignment horizontal="center" wrapText="1"/>
    </xf>
    <xf numFmtId="14" fontId="11" fillId="2" borderId="24" xfId="1" applyNumberFormat="1" applyFont="1" applyFill="1" applyBorder="1" applyAlignment="1">
      <alignment horizontal="center" vertical="center" wrapText="1"/>
    </xf>
    <xf numFmtId="0" fontId="11" fillId="2" borderId="24" xfId="1" applyFont="1" applyFill="1" applyBorder="1" applyAlignment="1">
      <alignment horizontal="center" vertical="center" wrapText="1"/>
    </xf>
    <xf numFmtId="20" fontId="11" fillId="2" borderId="14" xfId="1" applyNumberFormat="1" applyFont="1" applyFill="1" applyBorder="1" applyAlignment="1">
      <alignment horizontal="center" vertical="center" wrapText="1"/>
    </xf>
    <xf numFmtId="165" fontId="11" fillId="2" borderId="24" xfId="1" applyNumberFormat="1" applyFont="1" applyFill="1" applyBorder="1" applyAlignment="1">
      <alignment horizontal="center" vertical="center"/>
    </xf>
    <xf numFmtId="165" fontId="11" fillId="2" borderId="25" xfId="1" applyNumberFormat="1" applyFont="1" applyFill="1" applyBorder="1" applyAlignment="1">
      <alignment horizontal="center" vertical="center"/>
    </xf>
    <xf numFmtId="0" fontId="6" fillId="0" borderId="0" xfId="2" applyFont="1"/>
    <xf numFmtId="0" fontId="7" fillId="2" borderId="23" xfId="1" applyFont="1" applyFill="1" applyBorder="1" applyAlignment="1">
      <alignment horizontal="center" vertical="center" wrapText="1"/>
    </xf>
    <xf numFmtId="0" fontId="14" fillId="0" borderId="0" xfId="4" applyFont="1" applyAlignment="1">
      <alignment horizontal="center" wrapText="1"/>
    </xf>
    <xf numFmtId="0" fontId="2" fillId="5" borderId="32" xfId="1" applyFont="1" applyFill="1" applyBorder="1" applyAlignment="1">
      <alignment vertical="center" wrapText="1"/>
    </xf>
    <xf numFmtId="0" fontId="2" fillId="5" borderId="33" xfId="1" applyFont="1" applyFill="1" applyBorder="1" applyAlignment="1">
      <alignment vertical="center" wrapText="1"/>
    </xf>
    <xf numFmtId="49" fontId="8" fillId="0" borderId="18" xfId="1" applyNumberFormat="1" applyFont="1" applyBorder="1" applyAlignment="1">
      <alignment vertical="center" wrapText="1"/>
    </xf>
    <xf numFmtId="164" fontId="10" fillId="0" borderId="18" xfId="1" applyNumberFormat="1" applyFont="1" applyBorder="1"/>
    <xf numFmtId="0" fontId="6" fillId="0" borderId="18" xfId="1" applyFont="1" applyBorder="1" applyAlignment="1">
      <alignment horizontal="center" vertical="center" wrapText="1"/>
    </xf>
    <xf numFmtId="0" fontId="12" fillId="0" borderId="40" xfId="1" applyFont="1" applyBorder="1" applyAlignment="1">
      <alignment horizontal="center" vertical="center" wrapText="1"/>
    </xf>
    <xf numFmtId="165" fontId="12" fillId="0" borderId="41" xfId="1" applyNumberFormat="1" applyFont="1" applyBorder="1" applyAlignment="1">
      <alignment horizontal="center" vertical="center" wrapText="1"/>
    </xf>
    <xf numFmtId="0" fontId="23" fillId="2" borderId="17" xfId="4" applyFont="1" applyFill="1" applyBorder="1" applyAlignment="1">
      <alignment horizontal="left"/>
    </xf>
    <xf numFmtId="0" fontId="6" fillId="2" borderId="0" xfId="0" applyFont="1" applyFill="1"/>
    <xf numFmtId="0" fontId="11" fillId="2" borderId="0" xfId="0" applyFont="1" applyFill="1"/>
    <xf numFmtId="0" fontId="11" fillId="2" borderId="18" xfId="0" applyFont="1" applyFill="1" applyBorder="1"/>
    <xf numFmtId="49" fontId="8" fillId="0" borderId="2" xfId="1" applyNumberFormat="1" applyFont="1" applyBorder="1" applyAlignment="1">
      <alignment horizontal="center" vertical="center" wrapText="1"/>
    </xf>
    <xf numFmtId="1" fontId="4" fillId="0" borderId="2" xfId="1" applyNumberFormat="1" applyFont="1" applyBorder="1" applyAlignment="1">
      <alignment horizontal="center" vertical="center"/>
    </xf>
    <xf numFmtId="166" fontId="3" fillId="0" borderId="21" xfId="1" applyNumberFormat="1" applyFont="1" applyBorder="1"/>
    <xf numFmtId="166" fontId="8" fillId="0" borderId="21" xfId="1" applyNumberFormat="1" applyFont="1" applyBorder="1" applyAlignment="1">
      <alignment vertical="center" wrapText="1"/>
    </xf>
    <xf numFmtId="166" fontId="6" fillId="0" borderId="0" xfId="1" applyNumberFormat="1" applyFont="1"/>
    <xf numFmtId="166" fontId="8" fillId="3" borderId="5" xfId="1" applyNumberFormat="1" applyFont="1" applyFill="1" applyBorder="1" applyAlignment="1">
      <alignment horizontal="center" vertical="center" wrapText="1"/>
    </xf>
    <xf numFmtId="166" fontId="12" fillId="0" borderId="2" xfId="1" applyNumberFormat="1" applyFont="1" applyBorder="1" applyAlignment="1">
      <alignment horizontal="center" vertical="center" wrapText="1"/>
    </xf>
    <xf numFmtId="166" fontId="11" fillId="2" borderId="24" xfId="1" applyNumberFormat="1" applyFont="1" applyFill="1" applyBorder="1" applyAlignment="1">
      <alignment horizontal="center" vertical="center" wrapText="1"/>
    </xf>
    <xf numFmtId="166" fontId="11" fillId="2" borderId="0" xfId="0" applyNumberFormat="1" applyFont="1" applyFill="1"/>
    <xf numFmtId="166" fontId="6" fillId="0" borderId="0" xfId="0" applyNumberFormat="1" applyFont="1"/>
    <xf numFmtId="20" fontId="12" fillId="10" borderId="2" xfId="1" applyNumberFormat="1" applyFont="1" applyFill="1" applyBorder="1" applyAlignment="1">
      <alignment horizontal="center" vertical="center" wrapText="1"/>
    </xf>
    <xf numFmtId="0" fontId="15" fillId="7" borderId="29" xfId="1" applyFont="1" applyFill="1" applyBorder="1" applyAlignment="1">
      <alignment vertical="center" wrapText="1"/>
    </xf>
    <xf numFmtId="0" fontId="15" fillId="7" borderId="30" xfId="1" applyFont="1" applyFill="1" applyBorder="1" applyAlignment="1">
      <alignment vertical="center" wrapText="1"/>
    </xf>
    <xf numFmtId="0" fontId="15" fillId="7" borderId="31" xfId="1" applyFont="1" applyFill="1" applyBorder="1" applyAlignment="1">
      <alignment vertical="center" wrapText="1"/>
    </xf>
    <xf numFmtId="0" fontId="19" fillId="0" borderId="7" xfId="1" applyFont="1" applyBorder="1" applyAlignment="1">
      <alignment horizontal="center"/>
    </xf>
    <xf numFmtId="0" fontId="19" fillId="0" borderId="17" xfId="1" applyFont="1" applyBorder="1" applyAlignment="1">
      <alignment horizontal="center"/>
    </xf>
    <xf numFmtId="0" fontId="32" fillId="0" borderId="17" xfId="1" applyFont="1" applyBorder="1" applyAlignment="1">
      <alignment horizontal="center"/>
    </xf>
    <xf numFmtId="0" fontId="33" fillId="0" borderId="0" xfId="0" applyFont="1"/>
    <xf numFmtId="0" fontId="6" fillId="0" borderId="18" xfId="1" applyFont="1" applyBorder="1" applyAlignment="1">
      <alignment horizontal="center" wrapText="1"/>
    </xf>
    <xf numFmtId="0" fontId="33" fillId="0" borderId="18" xfId="1" applyFont="1" applyBorder="1" applyAlignment="1">
      <alignment horizontal="center" wrapText="1"/>
    </xf>
    <xf numFmtId="14" fontId="5" fillId="0" borderId="0" xfId="1" applyNumberFormat="1" applyFont="1" applyAlignment="1">
      <alignment horizontal="center" wrapText="1"/>
    </xf>
    <xf numFmtId="0" fontId="5" fillId="0" borderId="0" xfId="1" applyFont="1" applyAlignment="1">
      <alignment horizontal="left"/>
    </xf>
    <xf numFmtId="0" fontId="19" fillId="0" borderId="0" xfId="1" applyFont="1" applyAlignment="1">
      <alignment horizontal="center"/>
    </xf>
    <xf numFmtId="14" fontId="27" fillId="0" borderId="0" xfId="1" quotePrefix="1" applyNumberFormat="1" applyFont="1" applyAlignment="1">
      <alignment horizontal="left"/>
    </xf>
    <xf numFmtId="14" fontId="37" fillId="0" borderId="0" xfId="1" quotePrefix="1" applyNumberFormat="1" applyFont="1" applyAlignment="1">
      <alignment horizontal="left"/>
    </xf>
    <xf numFmtId="0" fontId="5" fillId="0" borderId="0" xfId="1" quotePrefix="1" applyFont="1" applyAlignment="1">
      <alignment horizontal="left"/>
    </xf>
    <xf numFmtId="14" fontId="27" fillId="0" borderId="0" xfId="1" quotePrefix="1" applyNumberFormat="1" applyFont="1" applyAlignment="1"/>
    <xf numFmtId="14" fontId="27" fillId="0" borderId="18" xfId="1" quotePrefix="1" applyNumberFormat="1" applyFont="1" applyBorder="1" applyAlignment="1"/>
    <xf numFmtId="0" fontId="12" fillId="0" borderId="0" xfId="0" applyFont="1" applyBorder="1" applyAlignment="1">
      <alignment vertical="center"/>
    </xf>
    <xf numFmtId="166" fontId="12" fillId="0" borderId="0" xfId="0" applyNumberFormat="1" applyFont="1" applyBorder="1" applyAlignment="1">
      <alignment vertical="center"/>
    </xf>
    <xf numFmtId="0" fontId="11" fillId="0" borderId="0" xfId="4" applyFont="1" applyBorder="1" applyAlignment="1">
      <alignment horizontal="left"/>
    </xf>
    <xf numFmtId="0" fontId="6" fillId="0" borderId="0" xfId="0" applyFont="1" applyBorder="1"/>
    <xf numFmtId="166" fontId="6" fillId="0" borderId="0" xfId="0" applyNumberFormat="1" applyFont="1" applyBorder="1"/>
    <xf numFmtId="0" fontId="11" fillId="0" borderId="29" xfId="4" applyFont="1" applyBorder="1" applyAlignment="1">
      <alignment horizontal="left"/>
    </xf>
    <xf numFmtId="0" fontId="12" fillId="0" borderId="30" xfId="0" applyFont="1" applyBorder="1" applyAlignment="1">
      <alignment vertical="center"/>
    </xf>
    <xf numFmtId="0" fontId="22" fillId="0" borderId="30" xfId="0" applyFont="1" applyBorder="1" applyAlignment="1">
      <alignment vertical="center"/>
    </xf>
    <xf numFmtId="0" fontId="12" fillId="0" borderId="31" xfId="2" applyFont="1" applyBorder="1" applyAlignment="1">
      <alignment horizontal="center" vertical="center"/>
    </xf>
    <xf numFmtId="0" fontId="19" fillId="0" borderId="17" xfId="1" applyFont="1" applyBorder="1" applyAlignment="1">
      <alignment horizontal="center"/>
    </xf>
    <xf numFmtId="0" fontId="8" fillId="0" borderId="0" xfId="1" applyFont="1" applyBorder="1" applyAlignment="1">
      <alignment vertical="center" wrapText="1"/>
    </xf>
    <xf numFmtId="49" fontId="19" fillId="0" borderId="0" xfId="1" applyNumberFormat="1" applyFont="1" applyBorder="1" applyAlignment="1">
      <alignment horizontal="center" vertical="center" wrapText="1"/>
    </xf>
    <xf numFmtId="0" fontId="3" fillId="0" borderId="0" xfId="1" applyFont="1" applyBorder="1"/>
    <xf numFmtId="49" fontId="8" fillId="0" borderId="0" xfId="1" applyNumberFormat="1" applyFont="1" applyBorder="1" applyAlignment="1">
      <alignment vertical="center" wrapText="1"/>
    </xf>
    <xf numFmtId="49" fontId="9" fillId="0" borderId="0" xfId="1" applyNumberFormat="1" applyFont="1" applyBorder="1" applyAlignment="1">
      <alignment horizontal="center" wrapText="1"/>
    </xf>
    <xf numFmtId="0" fontId="4" fillId="0" borderId="0" xfId="1" applyFont="1" applyBorder="1"/>
    <xf numFmtId="164" fontId="10" fillId="0" borderId="0" xfId="1" applyNumberFormat="1" applyFont="1" applyBorder="1"/>
    <xf numFmtId="14" fontId="5" fillId="0" borderId="0" xfId="1" applyNumberFormat="1" applyFont="1" applyBorder="1" applyAlignment="1">
      <alignment horizontal="center" wrapText="1"/>
    </xf>
    <xf numFmtId="0" fontId="6" fillId="0" borderId="0" xfId="1" applyFont="1" applyBorder="1"/>
    <xf numFmtId="166" fontId="6" fillId="0" borderId="0" xfId="1" applyNumberFormat="1" applyFont="1" applyBorder="1"/>
    <xf numFmtId="0" fontId="36" fillId="11" borderId="0" xfId="0" applyFont="1" applyFill="1" applyBorder="1" applyAlignment="1"/>
    <xf numFmtId="0" fontId="36" fillId="11" borderId="0" xfId="0" applyFont="1" applyFill="1" applyBorder="1" applyAlignment="1">
      <alignment horizontal="center"/>
    </xf>
    <xf numFmtId="0" fontId="34" fillId="11" borderId="0" xfId="0" applyFont="1" applyFill="1" applyBorder="1" applyAlignment="1"/>
    <xf numFmtId="0" fontId="28" fillId="11" borderId="0" xfId="0" applyFont="1" applyFill="1" applyBorder="1" applyAlignment="1">
      <alignment horizontal="center"/>
    </xf>
    <xf numFmtId="0" fontId="35" fillId="11" borderId="0" xfId="0" applyFont="1" applyFill="1" applyBorder="1" applyAlignment="1"/>
    <xf numFmtId="0" fontId="31" fillId="11" borderId="0" xfId="3" applyFont="1" applyFill="1" applyBorder="1" applyAlignment="1">
      <alignment horizontal="center"/>
    </xf>
    <xf numFmtId="0" fontId="29" fillId="11" borderId="0" xfId="0" applyFont="1" applyFill="1" applyBorder="1" applyAlignment="1"/>
    <xf numFmtId="0" fontId="6" fillId="0" borderId="0" xfId="1" applyFont="1" applyBorder="1" applyAlignment="1"/>
    <xf numFmtId="0" fontId="30" fillId="11" borderId="0" xfId="0" applyFont="1" applyFill="1" applyBorder="1" applyAlignment="1"/>
    <xf numFmtId="0" fontId="34" fillId="11" borderId="0" xfId="0" applyFont="1" applyFill="1" applyBorder="1" applyAlignment="1">
      <alignment horizontal="center"/>
    </xf>
    <xf numFmtId="0" fontId="33" fillId="0" borderId="0" xfId="1" applyFont="1" applyBorder="1" applyAlignment="1"/>
    <xf numFmtId="0" fontId="31" fillId="11" borderId="0" xfId="3" applyFont="1" applyFill="1" applyBorder="1" applyAlignment="1"/>
    <xf numFmtId="0" fontId="32" fillId="0" borderId="19" xfId="1" applyFont="1" applyBorder="1" applyAlignment="1">
      <alignment horizontal="center"/>
    </xf>
    <xf numFmtId="0" fontId="6" fillId="0" borderId="7" xfId="1" applyFont="1" applyBorder="1"/>
    <xf numFmtId="166" fontId="6" fillId="0" borderId="7" xfId="1" applyNumberFormat="1" applyFont="1" applyBorder="1"/>
    <xf numFmtId="0" fontId="6" fillId="0" borderId="20" xfId="1" applyFont="1" applyBorder="1" applyAlignment="1">
      <alignment horizontal="center" vertical="center" wrapText="1"/>
    </xf>
    <xf numFmtId="0" fontId="5" fillId="0" borderId="0" xfId="1" applyFont="1" applyAlignment="1">
      <alignment horizontal="left" indent="6"/>
    </xf>
    <xf numFmtId="0" fontId="28" fillId="11" borderId="0" xfId="0" applyFont="1" applyFill="1" applyBorder="1" applyAlignment="1">
      <alignment horizontal="center"/>
    </xf>
    <xf numFmtId="0" fontId="36" fillId="11" borderId="0" xfId="0" applyFont="1" applyFill="1" applyBorder="1" applyAlignment="1">
      <alignment horizontal="center"/>
    </xf>
    <xf numFmtId="165" fontId="8" fillId="3" borderId="27" xfId="1" applyNumberFormat="1" applyFont="1" applyFill="1" applyBorder="1" applyAlignment="1">
      <alignment horizontal="center" vertical="center" wrapText="1"/>
    </xf>
    <xf numFmtId="165" fontId="8" fillId="3" borderId="26" xfId="1" applyNumberFormat="1" applyFont="1" applyFill="1" applyBorder="1" applyAlignment="1">
      <alignment horizontal="center" vertical="center" wrapText="1"/>
    </xf>
    <xf numFmtId="0" fontId="19" fillId="0" borderId="35" xfId="1" applyFont="1" applyBorder="1" applyAlignment="1">
      <alignment horizontal="center" vertical="center"/>
    </xf>
    <xf numFmtId="0" fontId="19" fillId="0" borderId="21" xfId="1" applyFont="1" applyBorder="1" applyAlignment="1">
      <alignment horizontal="center" vertical="center"/>
    </xf>
    <xf numFmtId="0" fontId="7" fillId="0" borderId="21" xfId="1" applyFont="1" applyBorder="1" applyAlignment="1">
      <alignment horizontal="center" vertical="center" wrapText="1"/>
    </xf>
    <xf numFmtId="0" fontId="7" fillId="0" borderId="36" xfId="1" applyFont="1" applyBorder="1" applyAlignment="1">
      <alignment horizontal="center" vertical="center" wrapText="1"/>
    </xf>
    <xf numFmtId="0" fontId="21" fillId="5" borderId="33" xfId="1" applyFont="1" applyFill="1" applyBorder="1" applyAlignment="1">
      <alignment horizontal="center" vertical="center" wrapText="1"/>
    </xf>
    <xf numFmtId="166" fontId="5" fillId="0" borderId="2" xfId="1" applyNumberFormat="1" applyFont="1" applyBorder="1" applyAlignment="1">
      <alignment horizontal="center" vertical="center"/>
    </xf>
    <xf numFmtId="0" fontId="8" fillId="3" borderId="38" xfId="1" applyFont="1" applyFill="1" applyBorder="1" applyAlignment="1">
      <alignment horizontal="center" vertical="center" wrapText="1"/>
    </xf>
    <xf numFmtId="0" fontId="8" fillId="3" borderId="39" xfId="1" applyFont="1" applyFill="1" applyBorder="1" applyAlignment="1">
      <alignment horizontal="center" vertical="center" wrapText="1"/>
    </xf>
    <xf numFmtId="164" fontId="5" fillId="5" borderId="33" xfId="1" applyNumberFormat="1" applyFont="1" applyFill="1" applyBorder="1" applyAlignment="1">
      <alignment horizontal="center" vertical="center"/>
    </xf>
    <xf numFmtId="164" fontId="5" fillId="5" borderId="34" xfId="1" applyNumberFormat="1" applyFont="1" applyFill="1" applyBorder="1" applyAlignment="1">
      <alignment horizontal="center" vertical="center"/>
    </xf>
    <xf numFmtId="0" fontId="34" fillId="11" borderId="0" xfId="0" applyFont="1" applyFill="1" applyBorder="1" applyAlignment="1">
      <alignment horizontal="center"/>
    </xf>
    <xf numFmtId="0" fontId="31" fillId="11" borderId="0" xfId="3" applyFont="1" applyFill="1" applyBorder="1" applyAlignment="1">
      <alignment horizontal="center"/>
    </xf>
    <xf numFmtId="0" fontId="35" fillId="11" borderId="0" xfId="0" applyFont="1" applyFill="1" applyBorder="1" applyAlignment="1">
      <alignment horizontal="center"/>
    </xf>
    <xf numFmtId="0" fontId="8" fillId="3" borderId="11" xfId="1" applyFont="1" applyFill="1" applyBorder="1" applyAlignment="1">
      <alignment horizontal="center" vertical="center" wrapText="1"/>
    </xf>
    <xf numFmtId="0" fontId="8" fillId="3" borderId="12" xfId="1" applyFont="1" applyFill="1" applyBorder="1" applyAlignment="1">
      <alignment horizontal="center" vertical="center" wrapText="1"/>
    </xf>
    <xf numFmtId="0" fontId="21" fillId="10" borderId="32" xfId="1" applyFont="1" applyFill="1" applyBorder="1" applyAlignment="1">
      <alignment horizontal="center" vertical="center" wrapText="1"/>
    </xf>
    <xf numFmtId="0" fontId="21" fillId="10" borderId="33" xfId="1" applyFont="1" applyFill="1" applyBorder="1" applyAlignment="1">
      <alignment horizontal="center" vertical="center" wrapText="1"/>
    </xf>
    <xf numFmtId="0" fontId="21" fillId="10" borderId="34" xfId="1" applyFont="1" applyFill="1" applyBorder="1" applyAlignment="1">
      <alignment horizontal="center" vertical="center" wrapText="1"/>
    </xf>
    <xf numFmtId="0" fontId="21" fillId="10" borderId="19" xfId="1" applyFont="1" applyFill="1" applyBorder="1" applyAlignment="1">
      <alignment horizontal="center" vertical="center" wrapText="1"/>
    </xf>
    <xf numFmtId="0" fontId="21" fillId="10" borderId="7" xfId="1" applyFont="1" applyFill="1" applyBorder="1" applyAlignment="1">
      <alignment horizontal="center" vertical="center" wrapText="1"/>
    </xf>
    <xf numFmtId="0" fontId="21" fillId="10" borderId="20" xfId="1" applyFont="1" applyFill="1" applyBorder="1" applyAlignment="1">
      <alignment horizontal="center" vertical="center" wrapText="1"/>
    </xf>
    <xf numFmtId="0" fontId="13" fillId="12" borderId="29" xfId="1" applyFont="1" applyFill="1" applyBorder="1" applyAlignment="1">
      <alignment horizontal="center" vertical="center" wrapText="1"/>
    </xf>
    <xf numFmtId="0" fontId="13" fillId="12" borderId="30" xfId="1" applyFont="1" applyFill="1" applyBorder="1" applyAlignment="1">
      <alignment horizontal="center" vertical="center"/>
    </xf>
    <xf numFmtId="0" fontId="13" fillId="12" borderId="31" xfId="1" applyFont="1" applyFill="1" applyBorder="1" applyAlignment="1">
      <alignment horizontal="center" vertical="center"/>
    </xf>
    <xf numFmtId="0" fontId="19" fillId="0" borderId="37" xfId="1" applyFont="1" applyBorder="1" applyAlignment="1">
      <alignment horizontal="center" vertical="center"/>
    </xf>
    <xf numFmtId="0" fontId="19" fillId="0" borderId="22" xfId="1" applyFont="1" applyBorder="1" applyAlignment="1">
      <alignment horizontal="center" vertical="center"/>
    </xf>
    <xf numFmtId="0" fontId="9" fillId="0" borderId="37" xfId="1" applyFont="1" applyBorder="1" applyAlignment="1">
      <alignment horizontal="center"/>
    </xf>
    <xf numFmtId="0" fontId="9" fillId="0" borderId="22" xfId="1" applyFont="1" applyBorder="1" applyAlignment="1">
      <alignment horizontal="center"/>
    </xf>
    <xf numFmtId="0" fontId="19" fillId="0" borderId="17" xfId="1" applyFont="1" applyBorder="1" applyAlignment="1">
      <alignment horizontal="center"/>
    </xf>
    <xf numFmtId="0" fontId="19" fillId="0" borderId="0" xfId="1" applyFont="1" applyBorder="1" applyAlignment="1">
      <alignment horizontal="center"/>
    </xf>
    <xf numFmtId="165" fontId="8" fillId="3" borderId="3" xfId="1" applyNumberFormat="1" applyFont="1" applyFill="1" applyBorder="1" applyAlignment="1">
      <alignment horizontal="center" vertical="center" wrapText="1"/>
    </xf>
    <xf numFmtId="165" fontId="8" fillId="3" borderId="4" xfId="1" applyNumberFormat="1" applyFont="1" applyFill="1" applyBorder="1" applyAlignment="1">
      <alignment horizontal="center" vertical="center" wrapText="1"/>
    </xf>
    <xf numFmtId="20" fontId="8" fillId="3" borderId="3" xfId="1" applyNumberFormat="1" applyFont="1" applyFill="1" applyBorder="1" applyAlignment="1">
      <alignment horizontal="center" vertical="center" wrapText="1"/>
    </xf>
    <xf numFmtId="20" fontId="8" fillId="3" borderId="4" xfId="1" applyNumberFormat="1" applyFont="1" applyFill="1" applyBorder="1" applyAlignment="1">
      <alignment horizontal="center" vertical="center" wrapText="1"/>
    </xf>
    <xf numFmtId="0" fontId="15" fillId="7" borderId="30" xfId="1" applyFont="1" applyFill="1" applyBorder="1" applyAlignment="1">
      <alignment horizontal="center" vertical="center" wrapText="1"/>
    </xf>
    <xf numFmtId="0" fontId="8" fillId="3" borderId="15" xfId="1" applyFont="1" applyFill="1" applyBorder="1" applyAlignment="1">
      <alignment horizontal="center" vertical="center"/>
    </xf>
    <xf numFmtId="0" fontId="8" fillId="3" borderId="17" xfId="1" applyFont="1" applyFill="1" applyBorder="1" applyAlignment="1">
      <alignment horizontal="center" vertical="center"/>
    </xf>
    <xf numFmtId="0" fontId="8" fillId="3" borderId="10" xfId="1" applyFont="1" applyFill="1" applyBorder="1" applyAlignment="1">
      <alignment horizontal="center" vertical="center" wrapText="1"/>
    </xf>
    <xf numFmtId="0" fontId="8" fillId="3" borderId="8" xfId="1" applyFont="1" applyFill="1" applyBorder="1" applyAlignment="1">
      <alignment horizontal="center" vertical="center" wrapText="1"/>
    </xf>
    <xf numFmtId="14" fontId="27" fillId="0" borderId="2" xfId="1" applyNumberFormat="1" applyFont="1" applyBorder="1" applyAlignment="1">
      <alignment horizontal="center" vertical="center"/>
    </xf>
    <xf numFmtId="0" fontId="8" fillId="3" borderId="5" xfId="1" applyFont="1" applyFill="1" applyBorder="1" applyAlignment="1">
      <alignment horizontal="center" vertical="center" wrapText="1"/>
    </xf>
    <xf numFmtId="0" fontId="8" fillId="3" borderId="1" xfId="1" applyFont="1" applyFill="1" applyBorder="1" applyAlignment="1">
      <alignment horizontal="center" vertical="center" wrapText="1"/>
    </xf>
    <xf numFmtId="14" fontId="8" fillId="3" borderId="3" xfId="1" applyNumberFormat="1" applyFont="1" applyFill="1" applyBorder="1" applyAlignment="1">
      <alignment horizontal="center" vertical="center" wrapText="1"/>
    </xf>
    <xf numFmtId="14" fontId="8" fillId="3" borderId="4" xfId="1" applyNumberFormat="1" applyFont="1" applyFill="1" applyBorder="1" applyAlignment="1">
      <alignment horizontal="center" vertical="center" wrapText="1"/>
    </xf>
    <xf numFmtId="0" fontId="8" fillId="3" borderId="42" xfId="1" applyFont="1" applyFill="1" applyBorder="1" applyAlignment="1">
      <alignment horizontal="center" vertical="center" wrapText="1"/>
    </xf>
    <xf numFmtId="0" fontId="8" fillId="3" borderId="43" xfId="1" applyFont="1" applyFill="1" applyBorder="1" applyAlignment="1">
      <alignment horizontal="center" vertical="center" wrapText="1"/>
    </xf>
    <xf numFmtId="166" fontId="8" fillId="3" borderId="11" xfId="1" applyNumberFormat="1" applyFont="1" applyFill="1" applyBorder="1" applyAlignment="1">
      <alignment horizontal="center" vertical="center" wrapText="1"/>
    </xf>
    <xf numFmtId="166" fontId="8" fillId="3" borderId="12" xfId="1" applyNumberFormat="1" applyFont="1" applyFill="1" applyBorder="1" applyAlignment="1">
      <alignment horizontal="center" vertical="center" wrapText="1"/>
    </xf>
    <xf numFmtId="0" fontId="8" fillId="3" borderId="13" xfId="1" applyFont="1" applyFill="1" applyBorder="1" applyAlignment="1">
      <alignment horizontal="center" vertical="center"/>
    </xf>
    <xf numFmtId="0" fontId="8" fillId="3" borderId="12" xfId="1" applyFont="1" applyFill="1" applyBorder="1" applyAlignment="1">
      <alignment horizontal="center" vertical="center"/>
    </xf>
    <xf numFmtId="0" fontId="8" fillId="3" borderId="11" xfId="1" applyFont="1" applyFill="1" applyBorder="1" applyAlignment="1">
      <alignment horizontal="center" vertical="center"/>
    </xf>
    <xf numFmtId="0" fontId="12" fillId="0" borderId="3" xfId="1" applyFont="1" applyBorder="1" applyAlignment="1">
      <alignment horizontal="center" vertical="center" wrapText="1"/>
    </xf>
    <xf numFmtId="0" fontId="12" fillId="0" borderId="45" xfId="1" applyFont="1" applyBorder="1" applyAlignment="1">
      <alignment horizontal="center" vertical="center" wrapText="1"/>
    </xf>
    <xf numFmtId="0" fontId="12" fillId="0" borderId="4" xfId="1" applyFont="1" applyBorder="1" applyAlignment="1">
      <alignment horizontal="center" vertical="center" wrapText="1"/>
    </xf>
    <xf numFmtId="0" fontId="22" fillId="0" borderId="30" xfId="0" applyFont="1" applyBorder="1" applyAlignment="1">
      <alignment horizontal="center" vertical="center"/>
    </xf>
    <xf numFmtId="0" fontId="16" fillId="6" borderId="37" xfId="2" applyFont="1" applyFill="1" applyBorder="1" applyAlignment="1">
      <alignment horizontal="center" vertical="center"/>
    </xf>
    <xf numFmtId="0" fontId="16" fillId="6" borderId="8" xfId="2" applyFont="1" applyFill="1" applyBorder="1" applyAlignment="1">
      <alignment horizontal="center" vertical="center"/>
    </xf>
    <xf numFmtId="0" fontId="16" fillId="6" borderId="39" xfId="2" applyFont="1" applyFill="1" applyBorder="1" applyAlignment="1">
      <alignment horizontal="center" vertical="center"/>
    </xf>
    <xf numFmtId="0" fontId="16" fillId="9" borderId="44" xfId="2" applyFont="1" applyFill="1" applyBorder="1" applyAlignment="1">
      <alignment horizontal="center" vertical="center"/>
    </xf>
    <xf numFmtId="0" fontId="16" fillId="9" borderId="10" xfId="2" applyFont="1" applyFill="1" applyBorder="1" applyAlignment="1">
      <alignment horizontal="center" vertical="center"/>
    </xf>
    <xf numFmtId="0" fontId="16" fillId="9" borderId="38" xfId="2" applyFont="1" applyFill="1" applyBorder="1" applyAlignment="1">
      <alignment horizontal="center" vertical="center"/>
    </xf>
    <xf numFmtId="0" fontId="16" fillId="9" borderId="28" xfId="2" applyFont="1" applyFill="1" applyBorder="1" applyAlignment="1">
      <alignment horizontal="center" vertical="center" wrapText="1"/>
    </xf>
    <xf numFmtId="0" fontId="16" fillId="9" borderId="24" xfId="2" applyFont="1" applyFill="1" applyBorder="1" applyAlignment="1">
      <alignment horizontal="center" vertical="center" wrapText="1"/>
    </xf>
    <xf numFmtId="0" fontId="16" fillId="9" borderId="25" xfId="2" applyFont="1" applyFill="1" applyBorder="1" applyAlignment="1">
      <alignment horizontal="center" vertical="center" wrapText="1"/>
    </xf>
    <xf numFmtId="0" fontId="17" fillId="4" borderId="15" xfId="1" applyFont="1" applyFill="1" applyBorder="1" applyAlignment="1">
      <alignment horizontal="center" vertical="center" wrapText="1"/>
    </xf>
    <xf numFmtId="0" fontId="17" fillId="4" borderId="6" xfId="1" applyFont="1" applyFill="1" applyBorder="1" applyAlignment="1">
      <alignment horizontal="center" vertical="center" wrapText="1"/>
    </xf>
    <xf numFmtId="0" fontId="17" fillId="4" borderId="16" xfId="1" applyFont="1" applyFill="1" applyBorder="1" applyAlignment="1">
      <alignment horizontal="center" vertical="center" wrapText="1"/>
    </xf>
    <xf numFmtId="0" fontId="17" fillId="4" borderId="17" xfId="1" applyFont="1" applyFill="1" applyBorder="1" applyAlignment="1">
      <alignment horizontal="center" vertical="center" wrapText="1"/>
    </xf>
    <xf numFmtId="0" fontId="17" fillId="4" borderId="0" xfId="1" applyFont="1" applyFill="1" applyAlignment="1">
      <alignment horizontal="center" vertical="center" wrapText="1"/>
    </xf>
    <xf numFmtId="0" fontId="17" fillId="4" borderId="18" xfId="1" applyFont="1" applyFill="1" applyBorder="1" applyAlignment="1">
      <alignment horizontal="center" vertical="center" wrapText="1"/>
    </xf>
    <xf numFmtId="0" fontId="17" fillId="8" borderId="15" xfId="1" applyFont="1" applyFill="1" applyBorder="1" applyAlignment="1">
      <alignment horizontal="center" vertical="center" wrapText="1"/>
    </xf>
    <xf numFmtId="0" fontId="17" fillId="8" borderId="6" xfId="1" applyFont="1" applyFill="1" applyBorder="1" applyAlignment="1">
      <alignment horizontal="center" vertical="center" wrapText="1"/>
    </xf>
    <xf numFmtId="0" fontId="17" fillId="8" borderId="16" xfId="1" applyFont="1" applyFill="1" applyBorder="1" applyAlignment="1">
      <alignment horizontal="center" vertical="center" wrapText="1"/>
    </xf>
    <xf numFmtId="0" fontId="17" fillId="8" borderId="17" xfId="1" applyFont="1" applyFill="1" applyBorder="1" applyAlignment="1">
      <alignment horizontal="center" vertical="center" wrapText="1"/>
    </xf>
    <xf numFmtId="0" fontId="17" fillId="8" borderId="0" xfId="1" applyFont="1" applyFill="1" applyAlignment="1">
      <alignment horizontal="center" vertical="center" wrapText="1"/>
    </xf>
    <xf numFmtId="0" fontId="17" fillId="8" borderId="18" xfId="1" applyFont="1" applyFill="1" applyBorder="1" applyAlignment="1">
      <alignment horizontal="center" vertical="center" wrapText="1"/>
    </xf>
    <xf numFmtId="0" fontId="16" fillId="6" borderId="44" xfId="2" applyFont="1" applyFill="1" applyBorder="1" applyAlignment="1">
      <alignment horizontal="center" vertical="center"/>
    </xf>
    <xf numFmtId="0" fontId="16" fillId="6" borderId="10" xfId="2" applyFont="1" applyFill="1" applyBorder="1" applyAlignment="1">
      <alignment horizontal="center" vertical="center"/>
    </xf>
    <xf numFmtId="0" fontId="16" fillId="6" borderId="38" xfId="2" applyFont="1" applyFill="1" applyBorder="1" applyAlignment="1">
      <alignment horizontal="center" vertical="center"/>
    </xf>
  </cellXfs>
  <cellStyles count="5">
    <cellStyle name="Hipervínculo" xfId="3" builtinId="8"/>
    <cellStyle name="Normal" xfId="0" builtinId="0"/>
    <cellStyle name="Normal 2" xfId="1" xr:uid="{00000000-0005-0000-0000-000002000000}"/>
    <cellStyle name="Normal 2 13" xfId="2" xr:uid="{00000000-0005-0000-0000-000003000000}"/>
    <cellStyle name="Normal 3" xfId="4" xr:uid="{A8AFA1CA-8886-4964-B0B8-116D023427A9}"/>
  </cellStyles>
  <dxfs count="5">
    <dxf>
      <font>
        <color rgb="FFFF0000"/>
      </font>
    </dxf>
    <dxf>
      <font>
        <color rgb="FFFF0000"/>
      </font>
    </dxf>
    <dxf>
      <fill>
        <patternFill>
          <bgColor rgb="FFFFFF66"/>
        </patternFill>
      </fill>
    </dxf>
    <dxf>
      <fill>
        <patternFill>
          <bgColor theme="4" tint="0.79998168889431442"/>
        </patternFill>
      </fill>
    </dxf>
    <dxf>
      <fill>
        <patternFill>
          <bgColor rgb="FFFFF9CD"/>
        </patternFill>
      </fill>
    </dxf>
  </dxfs>
  <tableStyles count="0" defaultTableStyle="TableStyleMedium2" defaultPivotStyle="PivotStyleMedium9"/>
  <colors>
    <mruColors>
      <color rgb="FFFFFF66"/>
      <color rgb="FFFFF9C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895350</xdr:colOff>
      <xdr:row>14</xdr:row>
      <xdr:rowOff>228599</xdr:rowOff>
    </xdr:from>
    <xdr:to>
      <xdr:col>12</xdr:col>
      <xdr:colOff>704850</xdr:colOff>
      <xdr:row>15</xdr:row>
      <xdr:rowOff>1421764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EF93E475-DC82-499A-AEF3-49F449D14069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5725" y="3086099"/>
          <a:ext cx="6191250" cy="1424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</xdr:row>
      <xdr:rowOff>0</xdr:rowOff>
    </xdr:from>
    <xdr:to>
      <xdr:col>6</xdr:col>
      <xdr:colOff>1333500</xdr:colOff>
      <xdr:row>15</xdr:row>
      <xdr:rowOff>2102803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DA53F7C7-DD02-41B1-84ED-2B154B8E2F7A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3086100"/>
          <a:ext cx="6191250" cy="21059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7</xdr:col>
      <xdr:colOff>3151094</xdr:colOff>
      <xdr:row>0</xdr:row>
      <xdr:rowOff>51308</xdr:rowOff>
    </xdr:from>
    <xdr:ext cx="1652067" cy="264560"/>
    <xdr:sp macro="" textlink="">
      <xdr:nvSpPr>
        <xdr:cNvPr id="2" name="1 CuadroText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10151969" y="51308"/>
          <a:ext cx="16520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r"/>
          <a:r>
            <a:rPr lang="es-CL" sz="1100" b="1" baseline="0"/>
            <a:t>VALIDO PARA EL DIA :</a:t>
          </a:r>
          <a:endParaRPr lang="es-CL" sz="1100" b="1"/>
        </a:p>
      </xdr:txBody>
    </xdr:sp>
    <xdr:clientData/>
  </xdr:oneCellAnchor>
  <xdr:twoCellAnchor editAs="oneCell">
    <xdr:from>
      <xdr:col>10</xdr:col>
      <xdr:colOff>9525</xdr:colOff>
      <xdr:row>1</xdr:row>
      <xdr:rowOff>57150</xdr:rowOff>
    </xdr:from>
    <xdr:to>
      <xdr:col>12</xdr:col>
      <xdr:colOff>544300</xdr:colOff>
      <xdr:row>4</xdr:row>
      <xdr:rowOff>85000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29892B38-0D97-4001-943D-BF4EFDC3D0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39600" y="409575"/>
          <a:ext cx="1693650" cy="726350"/>
        </a:xfrm>
        <a:prstGeom prst="rect">
          <a:avLst/>
        </a:prstGeom>
      </xdr:spPr>
    </xdr:pic>
    <xdr:clientData/>
  </xdr:twoCellAnchor>
  <xdr:twoCellAnchor>
    <xdr:from>
      <xdr:col>6</xdr:col>
      <xdr:colOff>657225</xdr:colOff>
      <xdr:row>145</xdr:row>
      <xdr:rowOff>38099</xdr:rowOff>
    </xdr:from>
    <xdr:to>
      <xdr:col>12</xdr:col>
      <xdr:colOff>1181100</xdr:colOff>
      <xdr:row>145</xdr:row>
      <xdr:rowOff>4857750</xdr:rowOff>
    </xdr:to>
    <xdr:sp macro="" textlink="">
      <xdr:nvSpPr>
        <xdr:cNvPr id="6" name="785 CuadroTexto">
          <a:extLst>
            <a:ext uri="{FF2B5EF4-FFF2-40B4-BE49-F238E27FC236}">
              <a16:creationId xmlns:a16="http://schemas.microsoft.com/office/drawing/2014/main" id="{B7CEC335-5D4C-4337-B76C-AAD0CE939F03}"/>
            </a:ext>
          </a:extLst>
        </xdr:cNvPr>
        <xdr:cNvSpPr txBox="1"/>
      </xdr:nvSpPr>
      <xdr:spPr>
        <a:xfrm>
          <a:off x="5800725" y="33499424"/>
          <a:ext cx="8572500" cy="4819651"/>
        </a:xfrm>
        <a:prstGeom prst="rect">
          <a:avLst/>
        </a:prstGeom>
        <a:solidFill>
          <a:schemeClr val="bg1"/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lIns="108000" tIns="0" rIns="0" bIns="0" rtlCol="0" anchor="t"/>
        <a:lstStyle/>
        <a:p>
          <a:pPr algn="ctr"/>
          <a:r>
            <a:rPr lang="es-CL" sz="1400" b="1" u="sng"/>
            <a:t>VELOCIDADES DE PASO POR PaN CON PROTECCIÓN AUTOMATICA</a:t>
          </a:r>
        </a:p>
        <a:p>
          <a:pPr algn="ctr"/>
          <a:r>
            <a:rPr lang="es-CL" sz="1400" b="1" u="sng">
              <a:solidFill>
                <a:sysClr val="windowText" lastClr="000000"/>
              </a:solidFill>
            </a:rPr>
            <a:t>(Velocidad máxima 65 KM/H (todo tren) establecida en la ingeniería de diseño de cruces </a:t>
          </a:r>
          <a:r>
            <a:rPr lang="es-CL" sz="1400" b="1" u="sng" baseline="0">
              <a:solidFill>
                <a:sysClr val="windowText" lastClr="000000"/>
              </a:solidFill>
            </a:rPr>
            <a:t>28/01/25)</a:t>
          </a:r>
          <a:endParaRPr lang="es-CL" sz="1400" b="1" u="sng">
            <a:solidFill>
              <a:sysClr val="windowText" lastClr="000000"/>
            </a:solidFill>
          </a:endParaRPr>
        </a:p>
        <a:p>
          <a:pPr algn="ctr"/>
          <a:endParaRPr lang="es-CL" sz="1400" b="1" u="sng"/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CL" sz="1200" b="1" i="0" u="none" strike="noStrike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95249</xdr:colOff>
      <xdr:row>145</xdr:row>
      <xdr:rowOff>38101</xdr:rowOff>
    </xdr:from>
    <xdr:to>
      <xdr:col>6</xdr:col>
      <xdr:colOff>552450</xdr:colOff>
      <xdr:row>145</xdr:row>
      <xdr:rowOff>2676525</xdr:rowOff>
    </xdr:to>
    <xdr:sp macro="" textlink="">
      <xdr:nvSpPr>
        <xdr:cNvPr id="8" name="785 CuadroTexto">
          <a:extLst>
            <a:ext uri="{FF2B5EF4-FFF2-40B4-BE49-F238E27FC236}">
              <a16:creationId xmlns:a16="http://schemas.microsoft.com/office/drawing/2014/main" id="{14683CAC-35D8-41E8-80C1-B9DCB5C7990E}"/>
            </a:ext>
          </a:extLst>
        </xdr:cNvPr>
        <xdr:cNvSpPr txBox="1"/>
      </xdr:nvSpPr>
      <xdr:spPr>
        <a:xfrm>
          <a:off x="95249" y="33499426"/>
          <a:ext cx="5600701" cy="2638424"/>
        </a:xfrm>
        <a:prstGeom prst="rect">
          <a:avLst/>
        </a:prstGeom>
        <a:solidFill>
          <a:schemeClr val="bg1"/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lIns="108000" tIns="0" rIns="0" bIns="0" rtlCol="0" anchor="t"/>
        <a:lstStyle/>
        <a:p>
          <a:pPr algn="ctr"/>
          <a:r>
            <a:rPr lang="es-CL" sz="1400" b="1" u="sng"/>
            <a:t>VELOCIDADES DE PASO POR PaN CON SLA, GUARDA CRUZADA</a:t>
          </a:r>
        </a:p>
        <a:p>
          <a:pPr algn="ctr"/>
          <a:r>
            <a:rPr lang="es-CL" sz="1400" b="1" u="sng"/>
            <a:t>Y BARRERAS MANUALES </a:t>
          </a:r>
        </a:p>
        <a:p>
          <a:pPr algn="ctr"/>
          <a:r>
            <a:rPr lang="es-CL" sz="1100" b="1" u="sng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(SOLO TREN PASAJEROS)</a:t>
          </a:r>
          <a:endParaRPr lang="es-CL" sz="1400" b="1" u="sng">
            <a:solidFill>
              <a:sysClr val="windowText" lastClr="000000"/>
            </a:solidFill>
          </a:endParaRPr>
        </a:p>
        <a:p>
          <a:pPr algn="ctr"/>
          <a:endParaRPr lang="es-CL" sz="1400" b="1" u="sng"/>
        </a:p>
        <a:p>
          <a:pPr algn="l"/>
          <a:r>
            <a:rPr lang="es-CL" sz="1200" b="1" i="0" u="sng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NOMBRE		SECTOR	UBICACIÓN		VELOCIDAD</a:t>
          </a:r>
          <a:r>
            <a:rPr lang="es-CL" sz="1200" u="sng"/>
            <a:t> </a:t>
          </a:r>
          <a:endParaRPr lang="es-CL" sz="1200" u="none"/>
        </a:p>
        <a:p>
          <a:pPr algn="l"/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01.- HUALQUI		HQ</a:t>
          </a:r>
          <a:r>
            <a:rPr lang="es-CL" sz="1200" b="1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- TH	PK. 46 P. 15/16	30 KM/HR</a:t>
          </a:r>
          <a:endParaRPr lang="es-CL" sz="1200" b="1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02.- HUALQUI ESTACION	HQ - TH	PK. 46,500		40 KM/HR	</a:t>
          </a:r>
        </a:p>
        <a:p>
          <a:pPr algn="l"/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03.- OMER HUET	HQ - TH	PK. 52 P. 23/24	</a:t>
          </a:r>
          <a:r>
            <a:rPr lang="es-CL" sz="1200" b="1" i="0" u="none" strike="noStrike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40 KM/HR</a:t>
          </a:r>
        </a:p>
        <a:p>
          <a:pPr algn="l"/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04.- LA UNIÓN		HQ - TH	PK. 84 P. 4/5		50 KM/HR</a:t>
          </a:r>
        </a:p>
        <a:p>
          <a:pPr algn="l"/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=====================================================================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11.- GRAU		CC - CW	PK. 15 P. 17/19	80 KM/HR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12.- VIVERO LA POSADA	CC - CW	PK. 16 P. 15/17	80 KM/HR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15.- PARQUE IND. 3	CC - CW	PK. 21 P. 5/7		80 KM/HR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CL" sz="1200" b="1" i="0" u="none" strike="noStrike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7</xdr:col>
      <xdr:colOff>57148</xdr:colOff>
      <xdr:row>145</xdr:row>
      <xdr:rowOff>551726</xdr:rowOff>
    </xdr:from>
    <xdr:to>
      <xdr:col>11</xdr:col>
      <xdr:colOff>260349</xdr:colOff>
      <xdr:row>145</xdr:row>
      <xdr:rowOff>4826054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DA21BC9-58C0-4A0A-A2B0-2B3B21DC34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867523" y="34013051"/>
          <a:ext cx="6000751" cy="4277503"/>
        </a:xfrm>
        <a:prstGeom prst="rect">
          <a:avLst/>
        </a:prstGeom>
      </xdr:spPr>
    </xdr:pic>
    <xdr:clientData/>
  </xdr:twoCellAnchor>
  <xdr:twoCellAnchor>
    <xdr:from>
      <xdr:col>0</xdr:col>
      <xdr:colOff>152400</xdr:colOff>
      <xdr:row>1</xdr:row>
      <xdr:rowOff>152400</xdr:rowOff>
    </xdr:from>
    <xdr:to>
      <xdr:col>2</xdr:col>
      <xdr:colOff>978900</xdr:colOff>
      <xdr:row>4</xdr:row>
      <xdr:rowOff>47624</xdr:rowOff>
    </xdr:to>
    <xdr:sp macro="" textlink="">
      <xdr:nvSpPr>
        <xdr:cNvPr id="18" name="784 CuadroTexto">
          <a:extLst>
            <a:ext uri="{FF2B5EF4-FFF2-40B4-BE49-F238E27FC236}">
              <a16:creationId xmlns:a16="http://schemas.microsoft.com/office/drawing/2014/main" id="{9CA64442-9C28-4402-8E5D-1F5E05D64FCD}"/>
            </a:ext>
          </a:extLst>
        </xdr:cNvPr>
        <xdr:cNvSpPr txBox="1"/>
      </xdr:nvSpPr>
      <xdr:spPr>
        <a:xfrm>
          <a:off x="152400" y="504825"/>
          <a:ext cx="2160000" cy="590549"/>
        </a:xfrm>
        <a:prstGeom prst="rect">
          <a:avLst/>
        </a:prstGeom>
        <a:solidFill>
          <a:schemeClr val="lt1"/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72000" tIns="0" rIns="36000" bIns="0" rtlCol="0" anchor="ctr" anchorCtr="0"/>
        <a:lstStyle/>
        <a:p>
          <a:pPr algn="l"/>
          <a:r>
            <a:rPr lang="es-CL" sz="1000"/>
            <a:t>FECHA	30-03-2016</a:t>
          </a:r>
        </a:p>
        <a:p>
          <a:pPr algn="l"/>
          <a:r>
            <a:rPr lang="es-CL" sz="1000"/>
            <a:t>DOC	R-B.V.C-TRA-001</a:t>
          </a:r>
        </a:p>
        <a:p>
          <a:pPr algn="l"/>
          <a:r>
            <a:rPr lang="es-CL" sz="1000"/>
            <a:t>REV	01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ct.con@efesur.cl" TargetMode="External"/><Relationship Id="rId7" Type="http://schemas.openxmlformats.org/officeDocument/2006/relationships/drawing" Target="../drawings/drawing1.xml"/><Relationship Id="rId2" Type="http://schemas.openxmlformats.org/officeDocument/2006/relationships/hyperlink" Target="mailto:despacho.electrico@efesur.cl" TargetMode="External"/><Relationship Id="rId1" Type="http://schemas.openxmlformats.org/officeDocument/2006/relationships/hyperlink" Target="mailto:ct.con@efesur.cl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operador.concepcion@efesur.cl" TargetMode="External"/><Relationship Id="rId4" Type="http://schemas.openxmlformats.org/officeDocument/2006/relationships/hyperlink" Target="mailto:controlador.sser@efesur.c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74"/>
  <sheetViews>
    <sheetView showGridLines="0" tabSelected="1" zoomScaleNormal="100" workbookViewId="0">
      <selection activeCell="H4" sqref="H4"/>
    </sheetView>
  </sheetViews>
  <sheetFormatPr baseColWidth="10" defaultColWidth="9.140625" defaultRowHeight="15" x14ac:dyDescent="0.25"/>
  <cols>
    <col min="1" max="1" width="4.28515625" style="1" customWidth="1"/>
    <col min="2" max="3" width="15.7109375" style="1" customWidth="1"/>
    <col min="4" max="4" width="18.5703125" style="1" customWidth="1"/>
    <col min="5" max="6" width="11.42578125" style="45" customWidth="1"/>
    <col min="7" max="7" width="25" style="1" customWidth="1"/>
    <col min="8" max="8" width="61.140625" style="1" customWidth="1"/>
    <col min="9" max="10" width="8.5703125" style="1" customWidth="1"/>
    <col min="11" max="12" width="8.7109375" style="1" customWidth="1"/>
    <col min="13" max="13" width="18.5703125" style="1" customWidth="1"/>
    <col min="14" max="16384" width="9.140625" style="1"/>
  </cols>
  <sheetData>
    <row r="1" spans="1:13" ht="27.75" customHeight="1" thickBot="1" x14ac:dyDescent="0.3">
      <c r="A1" s="25"/>
      <c r="B1" s="26"/>
      <c r="C1" s="26"/>
      <c r="D1" s="26"/>
      <c r="E1" s="109" t="s">
        <v>65</v>
      </c>
      <c r="F1" s="109"/>
      <c r="G1" s="109"/>
      <c r="H1" s="109"/>
      <c r="I1" s="26"/>
      <c r="J1" s="113">
        <v>46322</v>
      </c>
      <c r="K1" s="113"/>
      <c r="L1" s="113"/>
      <c r="M1" s="114"/>
    </row>
    <row r="2" spans="1:13" ht="13.5" customHeight="1" thickTop="1" x14ac:dyDescent="0.25">
      <c r="A2" s="105"/>
      <c r="B2" s="106"/>
      <c r="C2" s="15"/>
      <c r="D2" s="12"/>
      <c r="E2" s="38"/>
      <c r="F2" s="39"/>
      <c r="G2" s="13"/>
      <c r="H2" s="74"/>
      <c r="I2" s="107"/>
      <c r="J2" s="107"/>
      <c r="K2" s="107"/>
      <c r="L2" s="107"/>
      <c r="M2" s="108"/>
    </row>
    <row r="3" spans="1:13" ht="18" customHeight="1" x14ac:dyDescent="0.25">
      <c r="A3" s="129"/>
      <c r="B3" s="130"/>
      <c r="C3" s="75"/>
      <c r="D3" s="76"/>
      <c r="E3" s="110" t="s">
        <v>22</v>
      </c>
      <c r="F3" s="110"/>
      <c r="G3" s="36" t="s">
        <v>21</v>
      </c>
      <c r="H3" s="36" t="s">
        <v>20</v>
      </c>
      <c r="I3" s="67"/>
      <c r="J3" s="77"/>
      <c r="K3" s="77"/>
      <c r="L3" s="77"/>
      <c r="M3" s="27"/>
    </row>
    <row r="4" spans="1:13" ht="23.25" x14ac:dyDescent="0.35">
      <c r="A4" s="131"/>
      <c r="B4" s="132"/>
      <c r="C4" s="78"/>
      <c r="D4" s="79"/>
      <c r="E4" s="144">
        <f ca="1">TODAY()</f>
        <v>46321</v>
      </c>
      <c r="F4" s="144"/>
      <c r="G4" s="37">
        <v>300</v>
      </c>
      <c r="H4" s="14" t="s">
        <v>328</v>
      </c>
      <c r="I4" s="80"/>
      <c r="J4" s="80"/>
      <c r="K4" s="80"/>
      <c r="L4" s="80"/>
      <c r="M4" s="28"/>
    </row>
    <row r="5" spans="1:13" ht="7.5" customHeight="1" x14ac:dyDescent="0.25">
      <c r="A5" s="133"/>
      <c r="B5" s="134"/>
      <c r="C5" s="81"/>
      <c r="D5" s="82"/>
      <c r="E5" s="83"/>
      <c r="F5" s="83"/>
      <c r="G5" s="82"/>
      <c r="H5" s="82"/>
      <c r="I5" s="82"/>
      <c r="J5" s="82"/>
      <c r="K5" s="82"/>
      <c r="L5" s="82"/>
      <c r="M5" s="29"/>
    </row>
    <row r="6" spans="1:13" ht="18.75" customHeight="1" x14ac:dyDescent="0.25">
      <c r="A6" s="73"/>
      <c r="B6" s="84"/>
      <c r="C6" s="102" t="s">
        <v>12</v>
      </c>
      <c r="D6" s="102"/>
      <c r="E6" s="84"/>
      <c r="F6" s="102" t="s">
        <v>13</v>
      </c>
      <c r="G6" s="102"/>
      <c r="H6" s="85" t="s">
        <v>35</v>
      </c>
      <c r="I6" s="102" t="s">
        <v>32</v>
      </c>
      <c r="J6" s="102"/>
      <c r="K6" s="102"/>
      <c r="L6" s="102"/>
      <c r="M6" s="54"/>
    </row>
    <row r="7" spans="1:13" s="53" customFormat="1" ht="12.75" customHeight="1" x14ac:dyDescent="0.25">
      <c r="A7" s="52"/>
      <c r="B7" s="86"/>
      <c r="C7" s="115" t="s">
        <v>14</v>
      </c>
      <c r="D7" s="115"/>
      <c r="E7" s="86"/>
      <c r="F7" s="115" t="s">
        <v>34</v>
      </c>
      <c r="G7" s="115"/>
      <c r="H7" s="87" t="s">
        <v>41</v>
      </c>
      <c r="I7" s="101" t="s">
        <v>42</v>
      </c>
      <c r="J7" s="101"/>
      <c r="K7" s="101"/>
      <c r="L7" s="101"/>
      <c r="M7" s="55"/>
    </row>
    <row r="8" spans="1:13" s="53" customFormat="1" ht="12.75" customHeight="1" x14ac:dyDescent="0.25">
      <c r="A8" s="52"/>
      <c r="B8" s="88"/>
      <c r="C8" s="101" t="s">
        <v>43</v>
      </c>
      <c r="D8" s="101"/>
      <c r="E8" s="88"/>
      <c r="F8" s="101" t="s">
        <v>44</v>
      </c>
      <c r="G8" s="101"/>
      <c r="H8" s="89" t="s">
        <v>36</v>
      </c>
      <c r="I8" s="116" t="s">
        <v>33</v>
      </c>
      <c r="J8" s="116"/>
      <c r="K8" s="116"/>
      <c r="L8" s="116"/>
      <c r="M8" s="55"/>
    </row>
    <row r="9" spans="1:13" ht="21" customHeight="1" x14ac:dyDescent="0.25">
      <c r="A9" s="73"/>
      <c r="B9" s="90"/>
      <c r="C9" s="102" t="s">
        <v>29</v>
      </c>
      <c r="D9" s="102"/>
      <c r="E9" s="90"/>
      <c r="F9" s="102" t="s">
        <v>37</v>
      </c>
      <c r="G9" s="102"/>
      <c r="H9" s="85" t="s">
        <v>39</v>
      </c>
      <c r="I9" s="84"/>
      <c r="J9" s="91"/>
      <c r="K9" s="91"/>
      <c r="L9" s="91"/>
      <c r="M9" s="54"/>
    </row>
    <row r="10" spans="1:13" s="53" customFormat="1" ht="12.75" customHeight="1" x14ac:dyDescent="0.25">
      <c r="A10" s="52"/>
      <c r="B10" s="92"/>
      <c r="C10" s="115" t="s">
        <v>30</v>
      </c>
      <c r="D10" s="115"/>
      <c r="E10" s="92"/>
      <c r="F10" s="115" t="s">
        <v>38</v>
      </c>
      <c r="G10" s="115"/>
      <c r="H10" s="93" t="s">
        <v>48</v>
      </c>
      <c r="I10" s="86"/>
      <c r="J10" s="94"/>
      <c r="K10" s="94"/>
      <c r="L10" s="94"/>
      <c r="M10" s="55"/>
    </row>
    <row r="11" spans="1:13" s="53" customFormat="1" ht="12.75" customHeight="1" x14ac:dyDescent="0.25">
      <c r="A11" s="52"/>
      <c r="B11" s="92"/>
      <c r="C11" s="101" t="s">
        <v>45</v>
      </c>
      <c r="D11" s="101"/>
      <c r="E11" s="92"/>
      <c r="F11" s="101" t="s">
        <v>46</v>
      </c>
      <c r="G11" s="101"/>
      <c r="H11" s="87" t="s">
        <v>47</v>
      </c>
      <c r="I11" s="88"/>
      <c r="J11" s="94"/>
      <c r="K11" s="94"/>
      <c r="L11" s="94"/>
      <c r="M11" s="55"/>
    </row>
    <row r="12" spans="1:13" s="53" customFormat="1" ht="12.75" customHeight="1" x14ac:dyDescent="0.25">
      <c r="A12" s="52"/>
      <c r="B12" s="92"/>
      <c r="C12" s="116" t="s">
        <v>31</v>
      </c>
      <c r="D12" s="116"/>
      <c r="E12" s="92"/>
      <c r="F12" s="116" t="s">
        <v>40</v>
      </c>
      <c r="G12" s="117"/>
      <c r="H12" s="89"/>
      <c r="I12" s="95"/>
      <c r="J12" s="94"/>
      <c r="K12" s="94"/>
      <c r="L12" s="94"/>
      <c r="M12" s="55"/>
    </row>
    <row r="13" spans="1:13" ht="9" customHeight="1" thickBot="1" x14ac:dyDescent="0.3">
      <c r="A13" s="96"/>
      <c r="B13" s="50"/>
      <c r="C13" s="16"/>
      <c r="D13" s="97"/>
      <c r="E13" s="98"/>
      <c r="F13" s="98"/>
      <c r="G13" s="97"/>
      <c r="H13" s="97"/>
      <c r="I13" s="97"/>
      <c r="J13" s="97"/>
      <c r="K13" s="97"/>
      <c r="L13" s="97"/>
      <c r="M13" s="99"/>
    </row>
    <row r="14" spans="1:13" ht="22.5" customHeight="1" thickBot="1" x14ac:dyDescent="0.3">
      <c r="A14" s="47"/>
      <c r="B14" s="48"/>
      <c r="C14" s="48"/>
      <c r="D14" s="139" t="s">
        <v>49</v>
      </c>
      <c r="E14" s="139"/>
      <c r="F14" s="139"/>
      <c r="G14" s="139"/>
      <c r="H14" s="139"/>
      <c r="I14" s="139"/>
      <c r="J14" s="139"/>
      <c r="K14" s="48"/>
      <c r="L14" s="48"/>
      <c r="M14" s="49"/>
    </row>
    <row r="15" spans="1:13" ht="18" customHeight="1" x14ac:dyDescent="0.25">
      <c r="A15" s="51"/>
      <c r="B15" s="57" t="s">
        <v>53</v>
      </c>
      <c r="C15" s="56"/>
      <c r="D15" s="57"/>
      <c r="E15" s="40"/>
      <c r="F15" s="40"/>
      <c r="G15" s="3"/>
      <c r="H15" s="100" t="s">
        <v>61</v>
      </c>
      <c r="I15" s="3"/>
      <c r="J15" s="3"/>
      <c r="K15" s="3"/>
      <c r="L15" s="3"/>
      <c r="M15" s="54"/>
    </row>
    <row r="16" spans="1:13" ht="189" customHeight="1" x14ac:dyDescent="0.25">
      <c r="A16" s="51"/>
      <c r="B16" s="59" t="s">
        <v>50</v>
      </c>
      <c r="C16" s="60"/>
      <c r="D16" s="57"/>
      <c r="E16" s="40"/>
      <c r="F16" s="40"/>
      <c r="G16" s="3"/>
      <c r="H16" s="3"/>
      <c r="I16" s="3"/>
      <c r="J16" s="3"/>
      <c r="K16" s="3"/>
      <c r="L16" s="3"/>
      <c r="M16" s="54"/>
    </row>
    <row r="17" spans="1:13" ht="27" customHeight="1" x14ac:dyDescent="0.3">
      <c r="A17" s="51"/>
      <c r="B17" s="57" t="s">
        <v>54</v>
      </c>
      <c r="C17" s="60"/>
      <c r="D17" s="57"/>
      <c r="E17" s="40"/>
      <c r="F17" s="40"/>
      <c r="G17" s="3"/>
      <c r="H17" s="3"/>
      <c r="I17" s="3"/>
      <c r="J17" s="3"/>
      <c r="K17" s="3"/>
      <c r="L17" s="3"/>
      <c r="M17" s="54"/>
    </row>
    <row r="18" spans="1:13" ht="15.75" x14ac:dyDescent="0.25">
      <c r="A18" s="51"/>
      <c r="B18" s="62" t="s">
        <v>52</v>
      </c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3"/>
    </row>
    <row r="19" spans="1:13" ht="18.75" x14ac:dyDescent="0.3">
      <c r="A19" s="51"/>
      <c r="B19" s="59" t="s">
        <v>51</v>
      </c>
      <c r="C19" s="56"/>
      <c r="D19" s="3"/>
      <c r="E19" s="40"/>
      <c r="F19" s="40"/>
      <c r="G19" s="3"/>
      <c r="H19" s="3"/>
      <c r="I19" s="3"/>
      <c r="J19" s="3"/>
      <c r="K19" s="3"/>
      <c r="L19" s="3"/>
      <c r="M19" s="54"/>
    </row>
    <row r="20" spans="1:13" ht="27" customHeight="1" x14ac:dyDescent="0.3">
      <c r="A20" s="51"/>
      <c r="B20" s="61" t="s">
        <v>55</v>
      </c>
      <c r="C20" s="56"/>
      <c r="D20" s="3"/>
      <c r="E20" s="40"/>
      <c r="F20" s="40"/>
      <c r="G20" s="3"/>
      <c r="H20" s="3"/>
      <c r="I20" s="3"/>
      <c r="J20" s="3"/>
      <c r="K20" s="3"/>
      <c r="L20" s="3"/>
      <c r="M20" s="54"/>
    </row>
    <row r="21" spans="1:13" ht="16.5" thickBot="1" x14ac:dyDescent="0.3">
      <c r="A21" s="51"/>
      <c r="B21" s="58"/>
      <c r="C21" s="56"/>
      <c r="D21" s="3"/>
      <c r="E21" s="40"/>
      <c r="F21" s="40"/>
      <c r="G21" s="3"/>
      <c r="H21" s="3"/>
      <c r="I21" s="3"/>
      <c r="J21" s="3"/>
      <c r="K21" s="3"/>
      <c r="L21" s="3"/>
      <c r="M21" s="29"/>
    </row>
    <row r="22" spans="1:13" ht="30" customHeight="1" thickBot="1" x14ac:dyDescent="0.3">
      <c r="A22" s="120" t="s">
        <v>57</v>
      </c>
      <c r="B22" s="121"/>
      <c r="C22" s="121"/>
      <c r="D22" s="121"/>
      <c r="E22" s="121"/>
      <c r="F22" s="121"/>
      <c r="G22" s="121"/>
      <c r="H22" s="121"/>
      <c r="I22" s="121"/>
      <c r="J22" s="121"/>
      <c r="K22" s="121"/>
      <c r="L22" s="121"/>
      <c r="M22" s="122"/>
    </row>
    <row r="23" spans="1:13" ht="30" customHeight="1" thickTop="1" thickBot="1" x14ac:dyDescent="0.3">
      <c r="A23" s="123" t="s">
        <v>58</v>
      </c>
      <c r="B23" s="124"/>
      <c r="C23" s="124"/>
      <c r="D23" s="124"/>
      <c r="E23" s="124"/>
      <c r="F23" s="124"/>
      <c r="G23" s="124"/>
      <c r="H23" s="124"/>
      <c r="I23" s="124"/>
      <c r="J23" s="124"/>
      <c r="K23" s="124"/>
      <c r="L23" s="124"/>
      <c r="M23" s="125"/>
    </row>
    <row r="24" spans="1:13" ht="67.5" customHeight="1" thickBot="1" x14ac:dyDescent="0.3">
      <c r="A24" s="126" t="s">
        <v>64</v>
      </c>
      <c r="B24" s="127"/>
      <c r="C24" s="127"/>
      <c r="D24" s="127"/>
      <c r="E24" s="127"/>
      <c r="F24" s="127"/>
      <c r="G24" s="127"/>
      <c r="H24" s="127"/>
      <c r="I24" s="127"/>
      <c r="J24" s="127"/>
      <c r="K24" s="127"/>
      <c r="L24" s="127"/>
      <c r="M24" s="128"/>
    </row>
    <row r="25" spans="1:13" ht="4.5" customHeight="1" thickBot="1" x14ac:dyDescent="0.3">
      <c r="A25" s="23"/>
      <c r="B25" s="17"/>
      <c r="C25" s="18"/>
      <c r="D25" s="18"/>
      <c r="E25" s="43"/>
      <c r="F25" s="43"/>
      <c r="G25" s="18"/>
      <c r="H25" s="18"/>
      <c r="I25" s="19"/>
      <c r="J25" s="19"/>
      <c r="K25" s="20"/>
      <c r="L25" s="20"/>
      <c r="M25" s="21"/>
    </row>
    <row r="26" spans="1:13" ht="22.5" customHeight="1" thickBot="1" x14ac:dyDescent="0.3">
      <c r="A26" s="47"/>
      <c r="B26" s="48"/>
      <c r="C26" s="48"/>
      <c r="D26" s="139" t="s">
        <v>26</v>
      </c>
      <c r="E26" s="139"/>
      <c r="F26" s="139"/>
      <c r="G26" s="139"/>
      <c r="H26" s="139"/>
      <c r="I26" s="139"/>
      <c r="J26" s="139"/>
      <c r="K26" s="139"/>
      <c r="L26" s="48"/>
      <c r="M26" s="49"/>
    </row>
    <row r="27" spans="1:13" ht="18" customHeight="1" x14ac:dyDescent="0.25">
      <c r="A27" s="140" t="s">
        <v>5</v>
      </c>
      <c r="B27" s="118" t="s">
        <v>0</v>
      </c>
      <c r="C27" s="119"/>
      <c r="D27" s="142" t="s">
        <v>10</v>
      </c>
      <c r="E27" s="151" t="s">
        <v>6</v>
      </c>
      <c r="F27" s="152"/>
      <c r="G27" s="142" t="s">
        <v>18</v>
      </c>
      <c r="H27" s="142" t="s">
        <v>7</v>
      </c>
      <c r="I27" s="153" t="s">
        <v>3</v>
      </c>
      <c r="J27" s="154"/>
      <c r="K27" s="155" t="s">
        <v>4</v>
      </c>
      <c r="L27" s="154"/>
      <c r="M27" s="111" t="s">
        <v>15</v>
      </c>
    </row>
    <row r="28" spans="1:13" ht="18" customHeight="1" x14ac:dyDescent="0.25">
      <c r="A28" s="141"/>
      <c r="B28" s="4" t="s">
        <v>1</v>
      </c>
      <c r="C28" s="4" t="s">
        <v>2</v>
      </c>
      <c r="D28" s="143"/>
      <c r="E28" s="41" t="s">
        <v>1</v>
      </c>
      <c r="F28" s="41" t="s">
        <v>2</v>
      </c>
      <c r="G28" s="143"/>
      <c r="H28" s="143"/>
      <c r="I28" s="10" t="s">
        <v>8</v>
      </c>
      <c r="J28" s="11" t="s">
        <v>17</v>
      </c>
      <c r="K28" s="11" t="s">
        <v>8</v>
      </c>
      <c r="L28" s="11" t="s">
        <v>17</v>
      </c>
      <c r="M28" s="112"/>
    </row>
    <row r="29" spans="1:13" ht="45" x14ac:dyDescent="0.25">
      <c r="A29" s="30" cm="1">
        <f t="array" aca="1" ref="A2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</v>
      </c>
      <c r="B29" s="7" t="s">
        <v>66</v>
      </c>
      <c r="C29" s="6" t="s">
        <v>67</v>
      </c>
      <c r="D29" s="6" t="s">
        <v>68</v>
      </c>
      <c r="E29" s="42" t="s">
        <v>69</v>
      </c>
      <c r="F29" s="42" t="s">
        <v>70</v>
      </c>
      <c r="G29" s="6" t="s">
        <v>71</v>
      </c>
      <c r="H29" s="6" t="s">
        <v>72</v>
      </c>
      <c r="I29" s="8">
        <v>0.41666666666666669</v>
      </c>
      <c r="J29" s="8">
        <v>0.5</v>
      </c>
      <c r="K29" s="9">
        <v>46322</v>
      </c>
      <c r="L29" s="9">
        <v>46322</v>
      </c>
      <c r="M29" s="31" t="s">
        <v>73</v>
      </c>
    </row>
    <row r="30" spans="1:13" ht="30" x14ac:dyDescent="0.25">
      <c r="A30" s="30" cm="1">
        <f t="array" aca="1" ref="A3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</v>
      </c>
      <c r="B30" s="7" t="s">
        <v>67</v>
      </c>
      <c r="C30" s="6" t="s">
        <v>67</v>
      </c>
      <c r="D30" s="6" t="s">
        <v>74</v>
      </c>
      <c r="E30" s="42" t="s">
        <v>75</v>
      </c>
      <c r="F30" s="42" t="s">
        <v>76</v>
      </c>
      <c r="G30" s="6" t="s">
        <v>77</v>
      </c>
      <c r="H30" s="6" t="s">
        <v>78</v>
      </c>
      <c r="I30" s="8">
        <v>0</v>
      </c>
      <c r="J30" s="8">
        <v>0.99930555555555556</v>
      </c>
      <c r="K30" s="9">
        <v>46027</v>
      </c>
      <c r="L30" s="9" t="s">
        <v>79</v>
      </c>
      <c r="M30" s="31" t="s">
        <v>80</v>
      </c>
    </row>
    <row r="31" spans="1:13" ht="30" x14ac:dyDescent="0.25">
      <c r="A31" s="30" cm="1">
        <f t="array" aca="1" ref="A3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</v>
      </c>
      <c r="B31" s="7" t="s">
        <v>67</v>
      </c>
      <c r="C31" s="6" t="s">
        <v>81</v>
      </c>
      <c r="D31" s="6" t="s">
        <v>82</v>
      </c>
      <c r="E31" s="42" t="s">
        <v>83</v>
      </c>
      <c r="F31" s="42" t="s">
        <v>84</v>
      </c>
      <c r="G31" s="6" t="s">
        <v>85</v>
      </c>
      <c r="H31" s="6" t="s">
        <v>86</v>
      </c>
      <c r="I31" s="8">
        <v>0</v>
      </c>
      <c r="J31" s="8">
        <v>0.99930555555555556</v>
      </c>
      <c r="K31" s="9">
        <v>46274</v>
      </c>
      <c r="L31" s="9" t="s">
        <v>79</v>
      </c>
      <c r="M31" s="31" t="s">
        <v>87</v>
      </c>
    </row>
    <row r="32" spans="1:13" ht="30" x14ac:dyDescent="0.25">
      <c r="A32" s="30" cm="1">
        <f t="array" aca="1" ref="A3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</v>
      </c>
      <c r="B32" s="7" t="s">
        <v>67</v>
      </c>
      <c r="C32" s="6" t="s">
        <v>81</v>
      </c>
      <c r="D32" s="6" t="s">
        <v>74</v>
      </c>
      <c r="E32" s="42" t="s">
        <v>88</v>
      </c>
      <c r="F32" s="42" t="s">
        <v>89</v>
      </c>
      <c r="G32" s="6" t="s">
        <v>90</v>
      </c>
      <c r="H32" s="6" t="s">
        <v>91</v>
      </c>
      <c r="I32" s="8">
        <v>0</v>
      </c>
      <c r="J32" s="8">
        <v>0.99930555555555556</v>
      </c>
      <c r="K32" s="9">
        <v>42534</v>
      </c>
      <c r="L32" s="9" t="s">
        <v>79</v>
      </c>
      <c r="M32" s="31" t="s">
        <v>80</v>
      </c>
    </row>
    <row r="33" spans="1:13" ht="30" x14ac:dyDescent="0.25">
      <c r="A33" s="30" cm="1">
        <f t="array" aca="1" ref="A3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</v>
      </c>
      <c r="B33" s="7" t="s">
        <v>67</v>
      </c>
      <c r="C33" s="6" t="s">
        <v>81</v>
      </c>
      <c r="D33" s="6" t="s">
        <v>92</v>
      </c>
      <c r="E33" s="42" t="s">
        <v>93</v>
      </c>
      <c r="F33" s="42" t="s">
        <v>94</v>
      </c>
      <c r="G33" s="6" t="s">
        <v>95</v>
      </c>
      <c r="H33" s="6" t="s">
        <v>96</v>
      </c>
      <c r="I33" s="8">
        <v>0</v>
      </c>
      <c r="J33" s="8">
        <v>0.99930555555555556</v>
      </c>
      <c r="K33" s="9">
        <v>46287</v>
      </c>
      <c r="L33" s="9" t="s">
        <v>79</v>
      </c>
      <c r="M33" s="31" t="s">
        <v>97</v>
      </c>
    </row>
    <row r="34" spans="1:13" ht="30" x14ac:dyDescent="0.25">
      <c r="A34" s="30" cm="1">
        <f t="array" aca="1" ref="A3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</v>
      </c>
      <c r="B34" s="7" t="s">
        <v>67</v>
      </c>
      <c r="C34" s="6" t="s">
        <v>81</v>
      </c>
      <c r="D34" s="6" t="s">
        <v>98</v>
      </c>
      <c r="E34" s="42" t="s">
        <v>99</v>
      </c>
      <c r="F34" s="42" t="s">
        <v>100</v>
      </c>
      <c r="G34" s="6" t="s">
        <v>95</v>
      </c>
      <c r="H34" s="6" t="s">
        <v>96</v>
      </c>
      <c r="I34" s="8">
        <v>0</v>
      </c>
      <c r="J34" s="8">
        <v>0.99930555555555556</v>
      </c>
      <c r="K34" s="9">
        <v>46287</v>
      </c>
      <c r="L34" s="9" t="s">
        <v>79</v>
      </c>
      <c r="M34" s="31" t="s">
        <v>97</v>
      </c>
    </row>
    <row r="35" spans="1:13" x14ac:dyDescent="0.25">
      <c r="A35" s="30" cm="1">
        <f t="array" aca="1" ref="A3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</v>
      </c>
      <c r="B35" s="7" t="s">
        <v>81</v>
      </c>
      <c r="C35" s="6" t="s">
        <v>81</v>
      </c>
      <c r="D35" s="6" t="s">
        <v>82</v>
      </c>
      <c r="E35" s="42" t="s">
        <v>101</v>
      </c>
      <c r="F35" s="42" t="s">
        <v>102</v>
      </c>
      <c r="G35" s="6" t="s">
        <v>103</v>
      </c>
      <c r="H35" s="6" t="s">
        <v>104</v>
      </c>
      <c r="I35" s="8">
        <v>0</v>
      </c>
      <c r="J35" s="8">
        <v>0.99930555555555556</v>
      </c>
      <c r="K35" s="9">
        <v>44021</v>
      </c>
      <c r="L35" s="9" t="s">
        <v>79</v>
      </c>
      <c r="M35" s="31" t="s">
        <v>105</v>
      </c>
    </row>
    <row r="36" spans="1:13" ht="45" x14ac:dyDescent="0.25">
      <c r="A36" s="30" cm="1">
        <f t="array" aca="1" ref="A3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8</v>
      </c>
      <c r="B36" s="7" t="s">
        <v>81</v>
      </c>
      <c r="C36" s="6" t="s">
        <v>81</v>
      </c>
      <c r="D36" s="6" t="s">
        <v>106</v>
      </c>
      <c r="E36" s="42" t="s">
        <v>102</v>
      </c>
      <c r="F36" s="42" t="s">
        <v>107</v>
      </c>
      <c r="G36" s="6" t="s">
        <v>108</v>
      </c>
      <c r="H36" s="6" t="s">
        <v>109</v>
      </c>
      <c r="I36" s="8">
        <v>0</v>
      </c>
      <c r="J36" s="8">
        <v>0.99930555555555556</v>
      </c>
      <c r="K36" s="9">
        <v>43941</v>
      </c>
      <c r="L36" s="9" t="s">
        <v>79</v>
      </c>
      <c r="M36" s="31" t="s">
        <v>110</v>
      </c>
    </row>
    <row r="37" spans="1:13" ht="60" x14ac:dyDescent="0.25">
      <c r="A37" s="30" cm="1">
        <f t="array" aca="1" ref="A3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9</v>
      </c>
      <c r="B37" s="7" t="s">
        <v>81</v>
      </c>
      <c r="C37" s="6" t="s">
        <v>81</v>
      </c>
      <c r="D37" s="6" t="s">
        <v>106</v>
      </c>
      <c r="E37" s="42" t="s">
        <v>102</v>
      </c>
      <c r="F37" s="42" t="s">
        <v>107</v>
      </c>
      <c r="G37" s="6" t="s">
        <v>111</v>
      </c>
      <c r="H37" s="6" t="s">
        <v>112</v>
      </c>
      <c r="I37" s="8">
        <v>0</v>
      </c>
      <c r="J37" s="8">
        <v>0.99930555555555556</v>
      </c>
      <c r="K37" s="9">
        <v>43941</v>
      </c>
      <c r="L37" s="9" t="s">
        <v>79</v>
      </c>
      <c r="M37" s="31" t="s">
        <v>110</v>
      </c>
    </row>
    <row r="38" spans="1:13" ht="30" x14ac:dyDescent="0.25">
      <c r="A38" s="30" cm="1">
        <f t="array" aca="1" ref="A3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10</v>
      </c>
      <c r="B38" s="7" t="s">
        <v>81</v>
      </c>
      <c r="C38" s="6" t="s">
        <v>113</v>
      </c>
      <c r="D38" s="6" t="s">
        <v>114</v>
      </c>
      <c r="E38" s="42" t="s">
        <v>115</v>
      </c>
      <c r="F38" s="42" t="s">
        <v>116</v>
      </c>
      <c r="G38" s="6" t="s">
        <v>71</v>
      </c>
      <c r="H38" s="6" t="s">
        <v>117</v>
      </c>
      <c r="I38" s="8">
        <v>0.41666666666666669</v>
      </c>
      <c r="J38" s="8">
        <v>0.75</v>
      </c>
      <c r="K38" s="9">
        <v>46322</v>
      </c>
      <c r="L38" s="9">
        <v>46322</v>
      </c>
      <c r="M38" s="31" t="s">
        <v>118</v>
      </c>
    </row>
    <row r="39" spans="1:13" ht="30" x14ac:dyDescent="0.25">
      <c r="A39" s="30" cm="1">
        <f t="array" aca="1" ref="A3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11</v>
      </c>
      <c r="B39" s="7" t="s">
        <v>81</v>
      </c>
      <c r="C39" s="6" t="s">
        <v>113</v>
      </c>
      <c r="D39" s="6" t="s">
        <v>98</v>
      </c>
      <c r="E39" s="42" t="s">
        <v>119</v>
      </c>
      <c r="F39" s="42" t="s">
        <v>120</v>
      </c>
      <c r="G39" s="6" t="s">
        <v>95</v>
      </c>
      <c r="H39" s="6" t="s">
        <v>96</v>
      </c>
      <c r="I39" s="8">
        <v>0</v>
      </c>
      <c r="J39" s="8">
        <v>0.99930555555555556</v>
      </c>
      <c r="K39" s="9">
        <v>46287</v>
      </c>
      <c r="L39" s="9" t="s">
        <v>79</v>
      </c>
      <c r="M39" s="31" t="s">
        <v>97</v>
      </c>
    </row>
    <row r="40" spans="1:13" ht="75" x14ac:dyDescent="0.25">
      <c r="A40" s="30" cm="1">
        <f t="array" aca="1" ref="A4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12</v>
      </c>
      <c r="B40" s="7" t="s">
        <v>81</v>
      </c>
      <c r="C40" s="6" t="s">
        <v>113</v>
      </c>
      <c r="D40" s="6" t="s">
        <v>114</v>
      </c>
      <c r="E40" s="42" t="s">
        <v>120</v>
      </c>
      <c r="F40" s="42" t="s">
        <v>121</v>
      </c>
      <c r="G40" s="6" t="s">
        <v>122</v>
      </c>
      <c r="H40" s="6" t="s">
        <v>123</v>
      </c>
      <c r="I40" s="8">
        <v>0.33333333333333331</v>
      </c>
      <c r="J40" s="8">
        <v>0.41666666666666669</v>
      </c>
      <c r="K40" s="9">
        <v>46322</v>
      </c>
      <c r="L40" s="9">
        <v>46322</v>
      </c>
      <c r="M40" s="31" t="s">
        <v>118</v>
      </c>
    </row>
    <row r="41" spans="1:13" ht="75" x14ac:dyDescent="0.25">
      <c r="A41" s="30" cm="1">
        <f t="array" aca="1" ref="A4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13</v>
      </c>
      <c r="B41" s="7" t="s">
        <v>81</v>
      </c>
      <c r="C41" s="6" t="s">
        <v>113</v>
      </c>
      <c r="D41" s="6" t="s">
        <v>114</v>
      </c>
      <c r="E41" s="42" t="s">
        <v>120</v>
      </c>
      <c r="F41" s="42" t="s">
        <v>121</v>
      </c>
      <c r="G41" s="6" t="s">
        <v>71</v>
      </c>
      <c r="H41" s="6" t="s">
        <v>124</v>
      </c>
      <c r="I41" s="8">
        <v>0.41666666666666669</v>
      </c>
      <c r="J41" s="8">
        <v>0.75</v>
      </c>
      <c r="K41" s="9">
        <v>46322</v>
      </c>
      <c r="L41" s="9">
        <v>46322</v>
      </c>
      <c r="M41" s="31" t="s">
        <v>118</v>
      </c>
    </row>
    <row r="42" spans="1:13" ht="30" x14ac:dyDescent="0.25">
      <c r="A42" s="30" cm="1">
        <f t="array" aca="1" ref="A4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14</v>
      </c>
      <c r="B42" s="7" t="s">
        <v>113</v>
      </c>
      <c r="C42" s="6" t="s">
        <v>125</v>
      </c>
      <c r="D42" s="6" t="s">
        <v>98</v>
      </c>
      <c r="E42" s="42" t="s">
        <v>126</v>
      </c>
      <c r="F42" s="42" t="s">
        <v>127</v>
      </c>
      <c r="G42" s="6" t="s">
        <v>95</v>
      </c>
      <c r="H42" s="6" t="s">
        <v>96</v>
      </c>
      <c r="I42" s="8">
        <v>0</v>
      </c>
      <c r="J42" s="8">
        <v>0.99930555555555556</v>
      </c>
      <c r="K42" s="9">
        <v>46287</v>
      </c>
      <c r="L42" s="9" t="s">
        <v>79</v>
      </c>
      <c r="M42" s="31" t="s">
        <v>97</v>
      </c>
    </row>
    <row r="43" spans="1:13" ht="30" x14ac:dyDescent="0.25">
      <c r="A43" s="30" cm="1">
        <f t="array" aca="1" ref="A4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15</v>
      </c>
      <c r="B43" s="7" t="s">
        <v>113</v>
      </c>
      <c r="C43" s="6" t="s">
        <v>113</v>
      </c>
      <c r="D43" s="6" t="s">
        <v>128</v>
      </c>
      <c r="E43" s="42" t="s">
        <v>126</v>
      </c>
      <c r="F43" s="42" t="s">
        <v>129</v>
      </c>
      <c r="G43" s="6" t="s">
        <v>95</v>
      </c>
      <c r="H43" s="6" t="s">
        <v>96</v>
      </c>
      <c r="I43" s="8">
        <v>0</v>
      </c>
      <c r="J43" s="8">
        <v>0.99930555555555556</v>
      </c>
      <c r="K43" s="9">
        <v>46287</v>
      </c>
      <c r="L43" s="9" t="s">
        <v>79</v>
      </c>
      <c r="M43" s="31" t="s">
        <v>97</v>
      </c>
    </row>
    <row r="44" spans="1:13" ht="30" x14ac:dyDescent="0.25">
      <c r="A44" s="30" cm="1">
        <f t="array" aca="1" ref="A4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16</v>
      </c>
      <c r="B44" s="7" t="s">
        <v>113</v>
      </c>
      <c r="C44" s="6" t="s">
        <v>125</v>
      </c>
      <c r="D44" s="6" t="s">
        <v>128</v>
      </c>
      <c r="E44" s="42" t="s">
        <v>130</v>
      </c>
      <c r="F44" s="42" t="s">
        <v>131</v>
      </c>
      <c r="G44" s="6" t="s">
        <v>95</v>
      </c>
      <c r="H44" s="6" t="s">
        <v>96</v>
      </c>
      <c r="I44" s="8">
        <v>0</v>
      </c>
      <c r="J44" s="8">
        <v>0.99930555555555556</v>
      </c>
      <c r="K44" s="9">
        <v>46287</v>
      </c>
      <c r="L44" s="9" t="s">
        <v>79</v>
      </c>
      <c r="M44" s="31" t="s">
        <v>97</v>
      </c>
    </row>
    <row r="45" spans="1:13" ht="30" x14ac:dyDescent="0.25">
      <c r="A45" s="30" cm="1">
        <f t="array" aca="1" ref="A4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17</v>
      </c>
      <c r="B45" s="7" t="s">
        <v>125</v>
      </c>
      <c r="C45" s="6" t="s">
        <v>125</v>
      </c>
      <c r="D45" s="6" t="s">
        <v>68</v>
      </c>
      <c r="E45" s="42">
        <v>69</v>
      </c>
      <c r="F45" s="42">
        <v>71</v>
      </c>
      <c r="G45" s="6" t="s">
        <v>71</v>
      </c>
      <c r="H45" s="6" t="s">
        <v>132</v>
      </c>
      <c r="I45" s="8">
        <v>0.875</v>
      </c>
      <c r="J45" s="8">
        <v>0.99930555555555556</v>
      </c>
      <c r="K45" s="9">
        <v>46322</v>
      </c>
      <c r="L45" s="9">
        <v>46322</v>
      </c>
      <c r="M45" s="31" t="s">
        <v>73</v>
      </c>
    </row>
    <row r="46" spans="1:13" x14ac:dyDescent="0.25">
      <c r="A46" s="30" cm="1">
        <f t="array" aca="1" ref="A4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18</v>
      </c>
      <c r="B46" s="7" t="s">
        <v>125</v>
      </c>
      <c r="C46" s="6" t="s">
        <v>125</v>
      </c>
      <c r="D46" s="6" t="s">
        <v>128</v>
      </c>
      <c r="E46" s="42" t="s">
        <v>133</v>
      </c>
      <c r="F46" s="42" t="s">
        <v>134</v>
      </c>
      <c r="G46" s="6" t="s">
        <v>135</v>
      </c>
      <c r="H46" s="6" t="s">
        <v>136</v>
      </c>
      <c r="I46" s="8">
        <v>0</v>
      </c>
      <c r="J46" s="8">
        <v>0.99930555555555556</v>
      </c>
      <c r="K46" s="9">
        <v>46227</v>
      </c>
      <c r="L46" s="9" t="s">
        <v>79</v>
      </c>
      <c r="M46" s="31" t="s">
        <v>105</v>
      </c>
    </row>
    <row r="47" spans="1:13" ht="45" x14ac:dyDescent="0.25">
      <c r="A47" s="30" cm="1">
        <f t="array" aca="1" ref="A4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19</v>
      </c>
      <c r="B47" s="7" t="s">
        <v>125</v>
      </c>
      <c r="C47" s="6" t="s">
        <v>125</v>
      </c>
      <c r="D47" s="6" t="s">
        <v>82</v>
      </c>
      <c r="E47" s="42" t="s">
        <v>137</v>
      </c>
      <c r="F47" s="42" t="s">
        <v>138</v>
      </c>
      <c r="G47" s="6" t="s">
        <v>122</v>
      </c>
      <c r="H47" s="6" t="s">
        <v>139</v>
      </c>
      <c r="I47" s="8">
        <v>0.33333333333333331</v>
      </c>
      <c r="J47" s="8">
        <v>0.39583333333333331</v>
      </c>
      <c r="K47" s="9">
        <v>46322</v>
      </c>
      <c r="L47" s="9">
        <v>46322</v>
      </c>
      <c r="M47" s="31" t="s">
        <v>140</v>
      </c>
    </row>
    <row r="48" spans="1:13" ht="30" x14ac:dyDescent="0.25">
      <c r="A48" s="30" cm="1">
        <f t="array" aca="1" ref="A4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20</v>
      </c>
      <c r="B48" s="7" t="s">
        <v>125</v>
      </c>
      <c r="C48" s="6" t="s">
        <v>125</v>
      </c>
      <c r="D48" s="6" t="s">
        <v>82</v>
      </c>
      <c r="E48" s="42" t="s">
        <v>137</v>
      </c>
      <c r="F48" s="42" t="s">
        <v>138</v>
      </c>
      <c r="G48" s="6" t="s">
        <v>71</v>
      </c>
      <c r="H48" s="6" t="s">
        <v>141</v>
      </c>
      <c r="I48" s="8">
        <v>0.41666666666666669</v>
      </c>
      <c r="J48" s="8">
        <v>0.72916666666666663</v>
      </c>
      <c r="K48" s="9">
        <v>46322</v>
      </c>
      <c r="L48" s="9">
        <v>46322</v>
      </c>
      <c r="M48" s="31" t="s">
        <v>140</v>
      </c>
    </row>
    <row r="49" spans="1:13" ht="45" x14ac:dyDescent="0.25">
      <c r="A49" s="30" cm="1">
        <f t="array" aca="1" ref="A4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21</v>
      </c>
      <c r="B49" s="7" t="s">
        <v>125</v>
      </c>
      <c r="C49" s="6" t="s">
        <v>125</v>
      </c>
      <c r="D49" s="6" t="s">
        <v>82</v>
      </c>
      <c r="E49" s="42" t="s">
        <v>137</v>
      </c>
      <c r="F49" s="42" t="s">
        <v>138</v>
      </c>
      <c r="G49" s="6" t="s">
        <v>122</v>
      </c>
      <c r="H49" s="6" t="s">
        <v>139</v>
      </c>
      <c r="I49" s="8">
        <v>0.72916666666666663</v>
      </c>
      <c r="J49" s="8">
        <v>0.83333333333333337</v>
      </c>
      <c r="K49" s="9">
        <v>46322</v>
      </c>
      <c r="L49" s="9">
        <v>46322</v>
      </c>
      <c r="M49" s="31" t="s">
        <v>140</v>
      </c>
    </row>
    <row r="50" spans="1:13" ht="60" x14ac:dyDescent="0.25">
      <c r="A50" s="30" cm="1">
        <f t="array" aca="1" ref="A5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22</v>
      </c>
      <c r="B50" s="7" t="s">
        <v>125</v>
      </c>
      <c r="C50" s="6" t="s">
        <v>125</v>
      </c>
      <c r="D50" s="6" t="s">
        <v>142</v>
      </c>
      <c r="E50" s="42" t="s">
        <v>143</v>
      </c>
      <c r="F50" s="42" t="s">
        <v>144</v>
      </c>
      <c r="G50" s="6" t="s">
        <v>135</v>
      </c>
      <c r="H50" s="6" t="s">
        <v>145</v>
      </c>
      <c r="I50" s="8">
        <v>0</v>
      </c>
      <c r="J50" s="8">
        <v>0.99930555555555556</v>
      </c>
      <c r="K50" s="9">
        <v>45632</v>
      </c>
      <c r="L50" s="9" t="s">
        <v>79</v>
      </c>
      <c r="M50" s="31" t="s">
        <v>105</v>
      </c>
    </row>
    <row r="51" spans="1:13" ht="30" x14ac:dyDescent="0.25">
      <c r="A51" s="30" cm="1">
        <f t="array" aca="1" ref="A5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23</v>
      </c>
      <c r="B51" s="7" t="s">
        <v>125</v>
      </c>
      <c r="C51" s="6" t="s">
        <v>125</v>
      </c>
      <c r="D51" s="6" t="s">
        <v>98</v>
      </c>
      <c r="E51" s="42" t="s">
        <v>146</v>
      </c>
      <c r="F51" s="42" t="s">
        <v>131</v>
      </c>
      <c r="G51" s="6" t="s">
        <v>95</v>
      </c>
      <c r="H51" s="6" t="s">
        <v>96</v>
      </c>
      <c r="I51" s="8">
        <v>0</v>
      </c>
      <c r="J51" s="8">
        <v>0.99930555555555556</v>
      </c>
      <c r="K51" s="9">
        <v>46287</v>
      </c>
      <c r="L51" s="9" t="s">
        <v>79</v>
      </c>
      <c r="M51" s="31" t="s">
        <v>97</v>
      </c>
    </row>
    <row r="52" spans="1:13" ht="60" x14ac:dyDescent="0.25">
      <c r="A52" s="30" cm="1">
        <f t="array" aca="1" ref="A5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24</v>
      </c>
      <c r="B52" s="7" t="s">
        <v>125</v>
      </c>
      <c r="C52" s="6" t="s">
        <v>125</v>
      </c>
      <c r="D52" s="6" t="s">
        <v>82</v>
      </c>
      <c r="E52" s="42" t="s">
        <v>146</v>
      </c>
      <c r="F52" s="42" t="s">
        <v>131</v>
      </c>
      <c r="G52" s="6" t="s">
        <v>71</v>
      </c>
      <c r="H52" s="6" t="s">
        <v>147</v>
      </c>
      <c r="I52" s="8">
        <v>0.52083333333333337</v>
      </c>
      <c r="J52" s="8">
        <v>0.75</v>
      </c>
      <c r="K52" s="9">
        <v>46322</v>
      </c>
      <c r="L52" s="9">
        <v>46322</v>
      </c>
      <c r="M52" s="31" t="s">
        <v>73</v>
      </c>
    </row>
    <row r="53" spans="1:13" ht="105" x14ac:dyDescent="0.25">
      <c r="A53" s="30" cm="1">
        <f t="array" aca="1" ref="A5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25</v>
      </c>
      <c r="B53" s="7" t="s">
        <v>125</v>
      </c>
      <c r="C53" s="6" t="s">
        <v>125</v>
      </c>
      <c r="D53" s="6" t="s">
        <v>82</v>
      </c>
      <c r="E53" s="42" t="s">
        <v>148</v>
      </c>
      <c r="F53" s="42" t="s">
        <v>149</v>
      </c>
      <c r="G53" s="6" t="s">
        <v>122</v>
      </c>
      <c r="H53" s="6" t="s">
        <v>150</v>
      </c>
      <c r="I53" s="8">
        <v>0.83333333333333337</v>
      </c>
      <c r="J53" s="8">
        <v>0.99930555555555556</v>
      </c>
      <c r="K53" s="9">
        <v>46322</v>
      </c>
      <c r="L53" s="9">
        <v>46322</v>
      </c>
      <c r="M53" s="31" t="s">
        <v>151</v>
      </c>
    </row>
    <row r="54" spans="1:13" ht="45" x14ac:dyDescent="0.25">
      <c r="A54" s="30" cm="1">
        <f t="array" aca="1" ref="A5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26</v>
      </c>
      <c r="B54" s="7" t="s">
        <v>125</v>
      </c>
      <c r="C54" s="6" t="s">
        <v>125</v>
      </c>
      <c r="D54" s="6" t="s">
        <v>98</v>
      </c>
      <c r="E54" s="42" t="s">
        <v>152</v>
      </c>
      <c r="F54" s="42" t="s">
        <v>153</v>
      </c>
      <c r="G54" s="6" t="s">
        <v>135</v>
      </c>
      <c r="H54" s="6" t="s">
        <v>154</v>
      </c>
      <c r="I54" s="8">
        <v>0</v>
      </c>
      <c r="J54" s="8">
        <v>0.99930555555555556</v>
      </c>
      <c r="K54" s="9">
        <v>45905</v>
      </c>
      <c r="L54" s="9" t="s">
        <v>79</v>
      </c>
      <c r="M54" s="31" t="s">
        <v>105</v>
      </c>
    </row>
    <row r="55" spans="1:13" ht="30" x14ac:dyDescent="0.25">
      <c r="A55" s="30" cm="1">
        <f t="array" aca="1" ref="A5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27</v>
      </c>
      <c r="B55" s="7" t="s">
        <v>125</v>
      </c>
      <c r="C55" s="6" t="s">
        <v>125</v>
      </c>
      <c r="D55" s="6" t="s">
        <v>155</v>
      </c>
      <c r="E55" s="42" t="s">
        <v>156</v>
      </c>
      <c r="F55" s="42">
        <v>129.215</v>
      </c>
      <c r="G55" s="6" t="s">
        <v>157</v>
      </c>
      <c r="H55" s="6" t="s">
        <v>79</v>
      </c>
      <c r="I55" s="8">
        <v>0</v>
      </c>
      <c r="J55" s="8">
        <v>0.99930555555555556</v>
      </c>
      <c r="K55" s="9">
        <v>43068</v>
      </c>
      <c r="L55" s="9" t="s">
        <v>79</v>
      </c>
      <c r="M55" s="31" t="s">
        <v>97</v>
      </c>
    </row>
    <row r="56" spans="1:13" ht="45" x14ac:dyDescent="0.25">
      <c r="A56" s="30" cm="1">
        <f t="array" aca="1" ref="A5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28</v>
      </c>
      <c r="B56" s="7" t="s">
        <v>125</v>
      </c>
      <c r="C56" s="6" t="s">
        <v>125</v>
      </c>
      <c r="D56" s="6" t="s">
        <v>155</v>
      </c>
      <c r="E56" s="42" t="s">
        <v>156</v>
      </c>
      <c r="F56" s="42">
        <v>129.215</v>
      </c>
      <c r="G56" s="6" t="s">
        <v>71</v>
      </c>
      <c r="H56" s="6" t="s">
        <v>158</v>
      </c>
      <c r="I56" s="8">
        <v>0.41666666666666669</v>
      </c>
      <c r="J56" s="8">
        <v>0.75</v>
      </c>
      <c r="K56" s="9">
        <v>46322</v>
      </c>
      <c r="L56" s="9">
        <v>46322</v>
      </c>
      <c r="M56" s="31" t="s">
        <v>159</v>
      </c>
    </row>
    <row r="57" spans="1:13" ht="30" x14ac:dyDescent="0.25">
      <c r="A57" s="30" cm="1">
        <f t="array" aca="1" ref="A5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29</v>
      </c>
      <c r="B57" s="7" t="s">
        <v>125</v>
      </c>
      <c r="C57" s="6" t="s">
        <v>125</v>
      </c>
      <c r="D57" s="6" t="s">
        <v>160</v>
      </c>
      <c r="E57" s="42" t="s">
        <v>161</v>
      </c>
      <c r="F57" s="42" t="s">
        <v>162</v>
      </c>
      <c r="G57" s="6" t="s">
        <v>77</v>
      </c>
      <c r="H57" s="6" t="s">
        <v>79</v>
      </c>
      <c r="I57" s="8">
        <v>0</v>
      </c>
      <c r="J57" s="8">
        <v>0.99930555555555556</v>
      </c>
      <c r="K57" s="9">
        <v>42990</v>
      </c>
      <c r="L57" s="9" t="s">
        <v>79</v>
      </c>
      <c r="M57" s="31" t="s">
        <v>97</v>
      </c>
    </row>
    <row r="58" spans="1:13" ht="30" x14ac:dyDescent="0.25">
      <c r="A58" s="30" cm="1">
        <f t="array" aca="1" ref="A5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30</v>
      </c>
      <c r="B58" s="7" t="s">
        <v>125</v>
      </c>
      <c r="C58" s="6" t="s">
        <v>125</v>
      </c>
      <c r="D58" s="6" t="s">
        <v>163</v>
      </c>
      <c r="E58" s="42" t="s">
        <v>161</v>
      </c>
      <c r="F58" s="42">
        <v>129.215</v>
      </c>
      <c r="G58" s="6" t="s">
        <v>77</v>
      </c>
      <c r="H58" s="6" t="s">
        <v>164</v>
      </c>
      <c r="I58" s="8">
        <v>0</v>
      </c>
      <c r="J58" s="8">
        <v>0.99930555555555556</v>
      </c>
      <c r="K58" s="9">
        <v>43767</v>
      </c>
      <c r="L58" s="9" t="s">
        <v>79</v>
      </c>
      <c r="M58" s="31" t="s">
        <v>97</v>
      </c>
    </row>
    <row r="59" spans="1:13" ht="60" x14ac:dyDescent="0.25">
      <c r="A59" s="30" cm="1">
        <f t="array" aca="1" ref="A5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31</v>
      </c>
      <c r="B59" s="7" t="s">
        <v>125</v>
      </c>
      <c r="C59" s="6" t="s">
        <v>125</v>
      </c>
      <c r="D59" s="6" t="s">
        <v>160</v>
      </c>
      <c r="E59" s="42" t="s">
        <v>161</v>
      </c>
      <c r="F59" s="42" t="s">
        <v>165</v>
      </c>
      <c r="G59" s="6" t="s">
        <v>71</v>
      </c>
      <c r="H59" s="6" t="s">
        <v>166</v>
      </c>
      <c r="I59" s="8">
        <v>0</v>
      </c>
      <c r="J59" s="8">
        <v>0.20833333333333334</v>
      </c>
      <c r="K59" s="9">
        <v>46322</v>
      </c>
      <c r="L59" s="9">
        <v>46322</v>
      </c>
      <c r="M59" s="31" t="s">
        <v>167</v>
      </c>
    </row>
    <row r="60" spans="1:13" ht="30" x14ac:dyDescent="0.25">
      <c r="A60" s="30" cm="1">
        <f t="array" aca="1" ref="A6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32</v>
      </c>
      <c r="B60" s="7" t="s">
        <v>125</v>
      </c>
      <c r="C60" s="6" t="s">
        <v>168</v>
      </c>
      <c r="D60" s="6" t="s">
        <v>98</v>
      </c>
      <c r="E60" s="42" t="s">
        <v>169</v>
      </c>
      <c r="F60" s="42" t="s">
        <v>170</v>
      </c>
      <c r="G60" s="6" t="s">
        <v>95</v>
      </c>
      <c r="H60" s="6" t="s">
        <v>96</v>
      </c>
      <c r="I60" s="8">
        <v>0</v>
      </c>
      <c r="J60" s="8">
        <v>0.99930555555555556</v>
      </c>
      <c r="K60" s="9">
        <v>46287</v>
      </c>
      <c r="L60" s="9" t="s">
        <v>79</v>
      </c>
      <c r="M60" s="31" t="s">
        <v>97</v>
      </c>
    </row>
    <row r="61" spans="1:13" ht="30" x14ac:dyDescent="0.25">
      <c r="A61" s="30" cm="1">
        <f t="array" aca="1" ref="A6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33</v>
      </c>
      <c r="B61" s="7" t="s">
        <v>125</v>
      </c>
      <c r="C61" s="6" t="s">
        <v>168</v>
      </c>
      <c r="D61" s="6" t="s">
        <v>128</v>
      </c>
      <c r="E61" s="42" t="s">
        <v>171</v>
      </c>
      <c r="F61" s="42" t="s">
        <v>172</v>
      </c>
      <c r="G61" s="6" t="s">
        <v>95</v>
      </c>
      <c r="H61" s="6" t="s">
        <v>96</v>
      </c>
      <c r="I61" s="8">
        <v>0</v>
      </c>
      <c r="J61" s="8">
        <v>0.99930555555555556</v>
      </c>
      <c r="K61" s="9">
        <v>46287</v>
      </c>
      <c r="L61" s="9" t="s">
        <v>79</v>
      </c>
      <c r="M61" s="31" t="s">
        <v>97</v>
      </c>
    </row>
    <row r="62" spans="1:13" ht="30" x14ac:dyDescent="0.25">
      <c r="A62" s="30" cm="1">
        <f t="array" aca="1" ref="A6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34</v>
      </c>
      <c r="B62" s="7" t="s">
        <v>168</v>
      </c>
      <c r="C62" s="6" t="s">
        <v>168</v>
      </c>
      <c r="D62" s="6" t="s">
        <v>173</v>
      </c>
      <c r="E62" s="42" t="s">
        <v>174</v>
      </c>
      <c r="F62" s="42" t="s">
        <v>175</v>
      </c>
      <c r="G62" s="6" t="s">
        <v>176</v>
      </c>
      <c r="H62" s="6" t="s">
        <v>177</v>
      </c>
      <c r="I62" s="8">
        <v>0</v>
      </c>
      <c r="J62" s="8">
        <v>0.99930555555555556</v>
      </c>
      <c r="K62" s="9">
        <v>46258</v>
      </c>
      <c r="L62" s="9" t="s">
        <v>79</v>
      </c>
      <c r="M62" s="31" t="s">
        <v>178</v>
      </c>
    </row>
    <row r="63" spans="1:13" ht="30" x14ac:dyDescent="0.25">
      <c r="A63" s="30" cm="1">
        <f t="array" aca="1" ref="A6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35</v>
      </c>
      <c r="B63" s="7" t="s">
        <v>168</v>
      </c>
      <c r="C63" s="6" t="s">
        <v>168</v>
      </c>
      <c r="D63" s="6" t="s">
        <v>98</v>
      </c>
      <c r="E63" s="42" t="s">
        <v>172</v>
      </c>
      <c r="F63" s="42" t="s">
        <v>179</v>
      </c>
      <c r="G63" s="6" t="s">
        <v>95</v>
      </c>
      <c r="H63" s="6" t="s">
        <v>96</v>
      </c>
      <c r="I63" s="8">
        <v>0</v>
      </c>
      <c r="J63" s="8">
        <v>0.99930555555555556</v>
      </c>
      <c r="K63" s="9">
        <v>46287</v>
      </c>
      <c r="L63" s="9" t="s">
        <v>79</v>
      </c>
      <c r="M63" s="31" t="s">
        <v>97</v>
      </c>
    </row>
    <row r="64" spans="1:13" ht="60" x14ac:dyDescent="0.25">
      <c r="A64" s="30" cm="1">
        <f t="array" aca="1" ref="A6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36</v>
      </c>
      <c r="B64" s="7" t="s">
        <v>168</v>
      </c>
      <c r="C64" s="6" t="s">
        <v>168</v>
      </c>
      <c r="D64" s="6" t="s">
        <v>180</v>
      </c>
      <c r="E64" s="42" t="s">
        <v>181</v>
      </c>
      <c r="F64" s="42" t="s">
        <v>182</v>
      </c>
      <c r="G64" s="6" t="s">
        <v>135</v>
      </c>
      <c r="H64" s="6" t="s">
        <v>183</v>
      </c>
      <c r="I64" s="8">
        <v>0</v>
      </c>
      <c r="J64" s="8">
        <v>0.99930555555555556</v>
      </c>
      <c r="K64" s="9">
        <v>45469</v>
      </c>
      <c r="L64" s="9" t="s">
        <v>79</v>
      </c>
      <c r="M64" s="31" t="s">
        <v>184</v>
      </c>
    </row>
    <row r="65" spans="1:13" ht="30" x14ac:dyDescent="0.25">
      <c r="A65" s="30" cm="1">
        <f t="array" aca="1" ref="A6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37</v>
      </c>
      <c r="B65" s="7" t="s">
        <v>168</v>
      </c>
      <c r="C65" s="6" t="s">
        <v>185</v>
      </c>
      <c r="D65" s="6" t="s">
        <v>92</v>
      </c>
      <c r="E65" s="42" t="s">
        <v>179</v>
      </c>
      <c r="F65" s="42" t="s">
        <v>186</v>
      </c>
      <c r="G65" s="6" t="s">
        <v>187</v>
      </c>
      <c r="H65" s="6" t="s">
        <v>96</v>
      </c>
      <c r="I65" s="8">
        <v>0</v>
      </c>
      <c r="J65" s="8">
        <v>0.99930555555555556</v>
      </c>
      <c r="K65" s="9">
        <v>46287</v>
      </c>
      <c r="L65" s="9" t="s">
        <v>79</v>
      </c>
      <c r="M65" s="31" t="s">
        <v>97</v>
      </c>
    </row>
    <row r="66" spans="1:13" x14ac:dyDescent="0.25">
      <c r="A66" s="30" cm="1">
        <f t="array" aca="1" ref="A6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38</v>
      </c>
      <c r="B66" s="7" t="s">
        <v>168</v>
      </c>
      <c r="C66" s="6" t="s">
        <v>185</v>
      </c>
      <c r="D66" s="6" t="s">
        <v>92</v>
      </c>
      <c r="E66" s="42" t="s">
        <v>188</v>
      </c>
      <c r="F66" s="42" t="s">
        <v>189</v>
      </c>
      <c r="G66" s="6" t="s">
        <v>135</v>
      </c>
      <c r="H66" s="6" t="s">
        <v>190</v>
      </c>
      <c r="I66" s="8">
        <v>0</v>
      </c>
      <c r="J66" s="8">
        <v>0.99930555555555556</v>
      </c>
      <c r="K66" s="9">
        <v>46255</v>
      </c>
      <c r="L66" s="9" t="s">
        <v>79</v>
      </c>
      <c r="M66" s="31" t="s">
        <v>191</v>
      </c>
    </row>
    <row r="67" spans="1:13" ht="30" x14ac:dyDescent="0.25">
      <c r="A67" s="30" cm="1">
        <f t="array" aca="1" ref="A6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39</v>
      </c>
      <c r="B67" s="7" t="s">
        <v>192</v>
      </c>
      <c r="C67" s="6" t="s">
        <v>192</v>
      </c>
      <c r="D67" s="6" t="s">
        <v>92</v>
      </c>
      <c r="E67" s="42">
        <v>0</v>
      </c>
      <c r="F67" s="42">
        <v>1</v>
      </c>
      <c r="G67" s="6" t="s">
        <v>71</v>
      </c>
      <c r="H67" s="6" t="s">
        <v>193</v>
      </c>
      <c r="I67" s="8">
        <v>0.95833333333333337</v>
      </c>
      <c r="J67" s="8">
        <v>0.99930555555555556</v>
      </c>
      <c r="K67" s="9">
        <v>46322</v>
      </c>
      <c r="L67" s="9">
        <v>46322</v>
      </c>
      <c r="M67" s="31" t="s">
        <v>159</v>
      </c>
    </row>
    <row r="68" spans="1:13" ht="30" x14ac:dyDescent="0.25">
      <c r="A68" s="30" cm="1">
        <f t="array" aca="1" ref="A6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40</v>
      </c>
      <c r="B68" s="7" t="s">
        <v>192</v>
      </c>
      <c r="C68" s="6" t="s">
        <v>192</v>
      </c>
      <c r="D68" s="6" t="s">
        <v>92</v>
      </c>
      <c r="E68" s="42">
        <v>3</v>
      </c>
      <c r="F68" s="42">
        <v>3.3</v>
      </c>
      <c r="G68" s="6" t="s">
        <v>135</v>
      </c>
      <c r="H68" s="6" t="s">
        <v>194</v>
      </c>
      <c r="I68" s="8">
        <v>0</v>
      </c>
      <c r="J68" s="8">
        <v>0.99930555555555556</v>
      </c>
      <c r="K68" s="9">
        <v>45386</v>
      </c>
      <c r="L68" s="9" t="s">
        <v>79</v>
      </c>
      <c r="M68" s="31" t="s">
        <v>184</v>
      </c>
    </row>
    <row r="69" spans="1:13" ht="30.75" thickBot="1" x14ac:dyDescent="0.3">
      <c r="A69" s="30" cm="1">
        <f t="array" aca="1" ref="A6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41</v>
      </c>
      <c r="B69" s="7" t="s">
        <v>192</v>
      </c>
      <c r="C69" s="6" t="s">
        <v>192</v>
      </c>
      <c r="D69" s="6" t="s">
        <v>195</v>
      </c>
      <c r="E69" s="42">
        <v>4</v>
      </c>
      <c r="F69" s="42">
        <v>4.07</v>
      </c>
      <c r="G69" s="6" t="s">
        <v>196</v>
      </c>
      <c r="H69" s="6" t="s">
        <v>197</v>
      </c>
      <c r="I69" s="8">
        <v>0</v>
      </c>
      <c r="J69" s="8">
        <v>0.99930555555555556</v>
      </c>
      <c r="K69" s="9">
        <v>45588</v>
      </c>
      <c r="L69" s="9" t="s">
        <v>79</v>
      </c>
      <c r="M69" s="31" t="s">
        <v>184</v>
      </c>
    </row>
    <row r="70" spans="1:13" ht="22.5" customHeight="1" thickBot="1" x14ac:dyDescent="0.3">
      <c r="A70" s="47"/>
      <c r="B70" s="48"/>
      <c r="C70" s="48"/>
      <c r="D70" s="139" t="s">
        <v>27</v>
      </c>
      <c r="E70" s="139"/>
      <c r="F70" s="139"/>
      <c r="G70" s="139"/>
      <c r="H70" s="139"/>
      <c r="I70" s="139"/>
      <c r="J70" s="139"/>
      <c r="K70" s="139"/>
      <c r="L70" s="48"/>
      <c r="M70" s="49"/>
    </row>
    <row r="71" spans="1:13" ht="30" x14ac:dyDescent="0.25">
      <c r="A71" s="30" cm="1">
        <f t="array" aca="1" ref="A7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42</v>
      </c>
      <c r="B71" s="7" t="s">
        <v>125</v>
      </c>
      <c r="C71" s="6" t="s">
        <v>125</v>
      </c>
      <c r="D71" s="6" t="s">
        <v>198</v>
      </c>
      <c r="E71" s="42" t="s">
        <v>199</v>
      </c>
      <c r="F71" s="42" t="s">
        <v>200</v>
      </c>
      <c r="G71" s="6" t="s">
        <v>95</v>
      </c>
      <c r="H71" s="6" t="s">
        <v>96</v>
      </c>
      <c r="I71" s="8">
        <v>0</v>
      </c>
      <c r="J71" s="8">
        <v>0.99930555555555556</v>
      </c>
      <c r="K71" s="9">
        <v>46287</v>
      </c>
      <c r="L71" s="9" t="s">
        <v>79</v>
      </c>
      <c r="M71" s="31" t="s">
        <v>97</v>
      </c>
    </row>
    <row r="72" spans="1:13" ht="45" x14ac:dyDescent="0.25">
      <c r="A72" s="30" cm="1">
        <f t="array" aca="1" ref="A7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43</v>
      </c>
      <c r="B72" s="7" t="s">
        <v>125</v>
      </c>
      <c r="C72" s="6" t="s">
        <v>201</v>
      </c>
      <c r="D72" s="6" t="s">
        <v>202</v>
      </c>
      <c r="E72" s="42" t="s">
        <v>203</v>
      </c>
      <c r="F72" s="42" t="s">
        <v>204</v>
      </c>
      <c r="G72" s="6" t="s">
        <v>71</v>
      </c>
      <c r="H72" s="6" t="s">
        <v>205</v>
      </c>
      <c r="I72" s="8">
        <v>0</v>
      </c>
      <c r="J72" s="8">
        <v>0.10416666666666667</v>
      </c>
      <c r="K72" s="9">
        <v>46322</v>
      </c>
      <c r="L72" s="9">
        <v>46322</v>
      </c>
      <c r="M72" s="31" t="s">
        <v>206</v>
      </c>
    </row>
    <row r="73" spans="1:13" ht="45" x14ac:dyDescent="0.25">
      <c r="A73" s="30" cm="1">
        <f t="array" aca="1" ref="A7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44</v>
      </c>
      <c r="B73" s="7" t="s">
        <v>125</v>
      </c>
      <c r="C73" s="6" t="s">
        <v>201</v>
      </c>
      <c r="D73" s="6" t="s">
        <v>202</v>
      </c>
      <c r="E73" s="42" t="s">
        <v>204</v>
      </c>
      <c r="F73" s="42" t="s">
        <v>207</v>
      </c>
      <c r="G73" s="6" t="s">
        <v>71</v>
      </c>
      <c r="H73" s="6" t="s">
        <v>208</v>
      </c>
      <c r="I73" s="8">
        <v>0.10416666666666667</v>
      </c>
      <c r="J73" s="8">
        <v>0.20833333333333334</v>
      </c>
      <c r="K73" s="9">
        <v>46322</v>
      </c>
      <c r="L73" s="9">
        <v>46322</v>
      </c>
      <c r="M73" s="31" t="s">
        <v>206</v>
      </c>
    </row>
    <row r="74" spans="1:13" ht="30" x14ac:dyDescent="0.25">
      <c r="A74" s="30" cm="1">
        <f t="array" aca="1" ref="A7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45</v>
      </c>
      <c r="B74" s="7" t="s">
        <v>201</v>
      </c>
      <c r="C74" s="6" t="s">
        <v>201</v>
      </c>
      <c r="D74" s="6" t="s">
        <v>209</v>
      </c>
      <c r="E74" s="42" t="s">
        <v>210</v>
      </c>
      <c r="F74" s="42" t="s">
        <v>211</v>
      </c>
      <c r="G74" s="6" t="s">
        <v>95</v>
      </c>
      <c r="H74" s="6" t="s">
        <v>96</v>
      </c>
      <c r="I74" s="8">
        <v>0</v>
      </c>
      <c r="J74" s="8">
        <v>0.99930555555555556</v>
      </c>
      <c r="K74" s="9">
        <v>46287</v>
      </c>
      <c r="L74" s="9" t="s">
        <v>79</v>
      </c>
      <c r="M74" s="31" t="s">
        <v>97</v>
      </c>
    </row>
    <row r="75" spans="1:13" ht="90" x14ac:dyDescent="0.25">
      <c r="A75" s="30" cm="1">
        <f t="array" aca="1" ref="A7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46</v>
      </c>
      <c r="B75" s="7" t="s">
        <v>201</v>
      </c>
      <c r="C75" s="6" t="s">
        <v>201</v>
      </c>
      <c r="D75" s="6" t="s">
        <v>82</v>
      </c>
      <c r="E75" s="42" t="s">
        <v>212</v>
      </c>
      <c r="F75" s="42" t="s">
        <v>213</v>
      </c>
      <c r="G75" s="6" t="s">
        <v>71</v>
      </c>
      <c r="H75" s="6" t="s">
        <v>214</v>
      </c>
      <c r="I75" s="8">
        <v>0.45833333333333331</v>
      </c>
      <c r="J75" s="8">
        <v>0.54166666666666663</v>
      </c>
      <c r="K75" s="9">
        <v>46322</v>
      </c>
      <c r="L75" s="9">
        <v>46322</v>
      </c>
      <c r="M75" s="31" t="s">
        <v>167</v>
      </c>
    </row>
    <row r="76" spans="1:13" ht="90" x14ac:dyDescent="0.25">
      <c r="A76" s="30" cm="1">
        <f t="array" aca="1" ref="A7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47</v>
      </c>
      <c r="B76" s="7" t="s">
        <v>201</v>
      </c>
      <c r="C76" s="6" t="s">
        <v>215</v>
      </c>
      <c r="D76" s="6" t="s">
        <v>82</v>
      </c>
      <c r="E76" s="42" t="s">
        <v>216</v>
      </c>
      <c r="F76" s="42" t="s">
        <v>217</v>
      </c>
      <c r="G76" s="6" t="s">
        <v>71</v>
      </c>
      <c r="H76" s="6" t="s">
        <v>218</v>
      </c>
      <c r="I76" s="8">
        <v>0.54166666666666663</v>
      </c>
      <c r="J76" s="8">
        <v>0.70833333333333337</v>
      </c>
      <c r="K76" s="9">
        <v>46322</v>
      </c>
      <c r="L76" s="9">
        <v>46322</v>
      </c>
      <c r="M76" s="31" t="s">
        <v>167</v>
      </c>
    </row>
    <row r="77" spans="1:13" ht="30" x14ac:dyDescent="0.25">
      <c r="A77" s="30" cm="1">
        <f t="array" aca="1" ref="A7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48</v>
      </c>
      <c r="B77" s="7" t="s">
        <v>201</v>
      </c>
      <c r="C77" s="6" t="s">
        <v>215</v>
      </c>
      <c r="D77" s="6" t="s">
        <v>128</v>
      </c>
      <c r="E77" s="42" t="s">
        <v>219</v>
      </c>
      <c r="F77" s="42" t="s">
        <v>220</v>
      </c>
      <c r="G77" s="6" t="s">
        <v>95</v>
      </c>
      <c r="H77" s="6" t="s">
        <v>96</v>
      </c>
      <c r="I77" s="8">
        <v>0</v>
      </c>
      <c r="J77" s="8">
        <v>0.99930555555555556</v>
      </c>
      <c r="K77" s="9">
        <v>46287</v>
      </c>
      <c r="L77" s="9" t="s">
        <v>79</v>
      </c>
      <c r="M77" s="31" t="s">
        <v>97</v>
      </c>
    </row>
    <row r="78" spans="1:13" ht="75" x14ac:dyDescent="0.25">
      <c r="A78" s="30" cm="1">
        <f t="array" aca="1" ref="A7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49</v>
      </c>
      <c r="B78" s="7" t="s">
        <v>201</v>
      </c>
      <c r="C78" s="6" t="s">
        <v>215</v>
      </c>
      <c r="D78" s="6" t="s">
        <v>114</v>
      </c>
      <c r="E78" s="42" t="s">
        <v>219</v>
      </c>
      <c r="F78" s="42" t="s">
        <v>221</v>
      </c>
      <c r="G78" s="6" t="s">
        <v>71</v>
      </c>
      <c r="H78" s="6" t="s">
        <v>222</v>
      </c>
      <c r="I78" s="8">
        <v>0.45833333333333331</v>
      </c>
      <c r="J78" s="8">
        <v>0.70833333333333337</v>
      </c>
      <c r="K78" s="9">
        <v>46322</v>
      </c>
      <c r="L78" s="9">
        <v>46322</v>
      </c>
      <c r="M78" s="31" t="s">
        <v>223</v>
      </c>
    </row>
    <row r="79" spans="1:13" ht="90" x14ac:dyDescent="0.25">
      <c r="A79" s="30" cm="1">
        <f t="array" aca="1" ref="A7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50</v>
      </c>
      <c r="B79" s="7" t="s">
        <v>215</v>
      </c>
      <c r="C79" s="6" t="s">
        <v>215</v>
      </c>
      <c r="D79" s="6" t="s">
        <v>82</v>
      </c>
      <c r="E79" s="42" t="s">
        <v>224</v>
      </c>
      <c r="F79" s="42" t="s">
        <v>225</v>
      </c>
      <c r="G79" s="6" t="s">
        <v>71</v>
      </c>
      <c r="H79" s="6" t="s">
        <v>226</v>
      </c>
      <c r="I79" s="8">
        <v>0.45833333333333331</v>
      </c>
      <c r="J79" s="8">
        <v>0.70833333333333337</v>
      </c>
      <c r="K79" s="9">
        <v>46322</v>
      </c>
      <c r="L79" s="9">
        <v>46322</v>
      </c>
      <c r="M79" s="31" t="s">
        <v>167</v>
      </c>
    </row>
    <row r="80" spans="1:13" ht="90" x14ac:dyDescent="0.25">
      <c r="A80" s="30" cm="1">
        <f t="array" aca="1" ref="A8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51</v>
      </c>
      <c r="B80" s="7" t="s">
        <v>215</v>
      </c>
      <c r="C80" s="6" t="s">
        <v>227</v>
      </c>
      <c r="D80" s="6" t="s">
        <v>82</v>
      </c>
      <c r="E80" s="42" t="s">
        <v>228</v>
      </c>
      <c r="F80" s="42" t="s">
        <v>229</v>
      </c>
      <c r="G80" s="6" t="s">
        <v>71</v>
      </c>
      <c r="H80" s="6" t="s">
        <v>230</v>
      </c>
      <c r="I80" s="8">
        <v>0.45833333333333331</v>
      </c>
      <c r="J80" s="8">
        <v>0.70833333333333337</v>
      </c>
      <c r="K80" s="9">
        <v>46322</v>
      </c>
      <c r="L80" s="9">
        <v>46322</v>
      </c>
      <c r="M80" s="31" t="s">
        <v>167</v>
      </c>
    </row>
    <row r="81" spans="1:13" ht="30" x14ac:dyDescent="0.25">
      <c r="A81" s="30" cm="1">
        <f t="array" aca="1" ref="A8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52</v>
      </c>
      <c r="B81" s="7" t="s">
        <v>227</v>
      </c>
      <c r="C81" s="6" t="s">
        <v>227</v>
      </c>
      <c r="D81" s="6" t="s">
        <v>82</v>
      </c>
      <c r="E81" s="42" t="s">
        <v>231</v>
      </c>
      <c r="F81" s="42" t="s">
        <v>232</v>
      </c>
      <c r="G81" s="6" t="s">
        <v>71</v>
      </c>
      <c r="H81" s="6" t="s">
        <v>233</v>
      </c>
      <c r="I81" s="8">
        <v>0.45833333333333331</v>
      </c>
      <c r="J81" s="8">
        <v>0.70833333333333337</v>
      </c>
      <c r="K81" s="9">
        <v>46322</v>
      </c>
      <c r="L81" s="9">
        <v>46322</v>
      </c>
      <c r="M81" s="31" t="s">
        <v>73</v>
      </c>
    </row>
    <row r="82" spans="1:13" ht="45" x14ac:dyDescent="0.25">
      <c r="A82" s="30" cm="1">
        <f t="array" aca="1" ref="A8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53</v>
      </c>
      <c r="B82" s="7" t="s">
        <v>227</v>
      </c>
      <c r="C82" s="6" t="s">
        <v>227</v>
      </c>
      <c r="D82" s="6" t="s">
        <v>68</v>
      </c>
      <c r="E82" s="42">
        <v>10</v>
      </c>
      <c r="F82" s="42">
        <v>12</v>
      </c>
      <c r="G82" s="6" t="s">
        <v>71</v>
      </c>
      <c r="H82" s="6" t="s">
        <v>234</v>
      </c>
      <c r="I82" s="8">
        <v>0.45833333333333331</v>
      </c>
      <c r="J82" s="8">
        <v>0.70833333333333337</v>
      </c>
      <c r="K82" s="9">
        <v>46322</v>
      </c>
      <c r="L82" s="9">
        <v>46322</v>
      </c>
      <c r="M82" s="31" t="s">
        <v>73</v>
      </c>
    </row>
    <row r="83" spans="1:13" ht="30" x14ac:dyDescent="0.25">
      <c r="A83" s="30" cm="1">
        <f t="array" aca="1" ref="A8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54</v>
      </c>
      <c r="B83" s="7" t="s">
        <v>227</v>
      </c>
      <c r="C83" s="6" t="s">
        <v>227</v>
      </c>
      <c r="D83" s="6" t="s">
        <v>128</v>
      </c>
      <c r="E83" s="42" t="s">
        <v>235</v>
      </c>
      <c r="F83" s="42" t="s">
        <v>236</v>
      </c>
      <c r="G83" s="6" t="s">
        <v>71</v>
      </c>
      <c r="H83" s="6" t="s">
        <v>237</v>
      </c>
      <c r="I83" s="8">
        <v>0.95833333333333337</v>
      </c>
      <c r="J83" s="8">
        <v>0.99930555555555556</v>
      </c>
      <c r="K83" s="9">
        <v>46322</v>
      </c>
      <c r="L83" s="9">
        <v>46322</v>
      </c>
      <c r="M83" s="31" t="s">
        <v>159</v>
      </c>
    </row>
    <row r="84" spans="1:13" ht="30" x14ac:dyDescent="0.25">
      <c r="A84" s="30" cm="1">
        <f t="array" aca="1" ref="A8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55</v>
      </c>
      <c r="B84" s="7" t="s">
        <v>227</v>
      </c>
      <c r="C84" s="6" t="s">
        <v>227</v>
      </c>
      <c r="D84" s="6" t="s">
        <v>114</v>
      </c>
      <c r="E84" s="42" t="s">
        <v>238</v>
      </c>
      <c r="F84" s="42" t="s">
        <v>239</v>
      </c>
      <c r="G84" s="6" t="s">
        <v>122</v>
      </c>
      <c r="H84" s="6" t="s">
        <v>240</v>
      </c>
      <c r="I84" s="8">
        <v>0.625</v>
      </c>
      <c r="J84" s="8">
        <v>0.66666666666666663</v>
      </c>
      <c r="K84" s="9">
        <v>45719</v>
      </c>
      <c r="L84" s="9" t="s">
        <v>79</v>
      </c>
      <c r="M84" s="31" t="s">
        <v>241</v>
      </c>
    </row>
    <row r="85" spans="1:13" ht="30" x14ac:dyDescent="0.25">
      <c r="A85" s="30" cm="1">
        <f t="array" aca="1" ref="A8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56</v>
      </c>
      <c r="B85" s="7" t="s">
        <v>227</v>
      </c>
      <c r="C85" s="6" t="s">
        <v>242</v>
      </c>
      <c r="D85" s="6" t="s">
        <v>243</v>
      </c>
      <c r="E85" s="42" t="s">
        <v>244</v>
      </c>
      <c r="F85" s="42" t="s">
        <v>245</v>
      </c>
      <c r="G85" s="6" t="s">
        <v>246</v>
      </c>
      <c r="H85" s="6" t="s">
        <v>247</v>
      </c>
      <c r="I85" s="8">
        <v>0</v>
      </c>
      <c r="J85" s="8">
        <v>0.27083333333333331</v>
      </c>
      <c r="K85" s="9">
        <v>44737</v>
      </c>
      <c r="L85" s="9" t="s">
        <v>79</v>
      </c>
      <c r="M85" s="31" t="s">
        <v>248</v>
      </c>
    </row>
    <row r="86" spans="1:13" ht="30" x14ac:dyDescent="0.25">
      <c r="A86" s="30" cm="1">
        <f t="array" aca="1" ref="A8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57</v>
      </c>
      <c r="B86" s="7" t="s">
        <v>227</v>
      </c>
      <c r="C86" s="6" t="s">
        <v>242</v>
      </c>
      <c r="D86" s="6" t="s">
        <v>243</v>
      </c>
      <c r="E86" s="42" t="s">
        <v>244</v>
      </c>
      <c r="F86" s="42" t="s">
        <v>245</v>
      </c>
      <c r="G86" s="6" t="s">
        <v>246</v>
      </c>
      <c r="H86" s="6" t="s">
        <v>247</v>
      </c>
      <c r="I86" s="8">
        <v>0.9375</v>
      </c>
      <c r="J86" s="8">
        <v>0.99930555555555556</v>
      </c>
      <c r="K86" s="9">
        <v>44737</v>
      </c>
      <c r="L86" s="9" t="s">
        <v>79</v>
      </c>
      <c r="M86" s="31" t="s">
        <v>248</v>
      </c>
    </row>
    <row r="87" spans="1:13" ht="30" x14ac:dyDescent="0.25">
      <c r="A87" s="30" cm="1">
        <f t="array" aca="1" ref="A8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58</v>
      </c>
      <c r="B87" s="7" t="s">
        <v>227</v>
      </c>
      <c r="C87" s="6" t="s">
        <v>242</v>
      </c>
      <c r="D87" s="6" t="s">
        <v>98</v>
      </c>
      <c r="E87" s="42" t="s">
        <v>249</v>
      </c>
      <c r="F87" s="42" t="s">
        <v>250</v>
      </c>
      <c r="G87" s="6" t="s">
        <v>95</v>
      </c>
      <c r="H87" s="6" t="s">
        <v>96</v>
      </c>
      <c r="I87" s="8">
        <v>0</v>
      </c>
      <c r="J87" s="8">
        <v>0.99930555555555556</v>
      </c>
      <c r="K87" s="9">
        <v>46287</v>
      </c>
      <c r="L87" s="9" t="s">
        <v>79</v>
      </c>
      <c r="M87" s="31" t="s">
        <v>97</v>
      </c>
    </row>
    <row r="88" spans="1:13" ht="45" x14ac:dyDescent="0.25">
      <c r="A88" s="30" cm="1">
        <f t="array" aca="1" ref="A8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59</v>
      </c>
      <c r="B88" s="7" t="s">
        <v>227</v>
      </c>
      <c r="C88" s="6" t="s">
        <v>242</v>
      </c>
      <c r="D88" s="6" t="s">
        <v>68</v>
      </c>
      <c r="E88" s="42" t="s">
        <v>251</v>
      </c>
      <c r="F88" s="42" t="s">
        <v>252</v>
      </c>
      <c r="G88" s="6" t="s">
        <v>71</v>
      </c>
      <c r="H88" s="6" t="s">
        <v>253</v>
      </c>
      <c r="I88" s="8">
        <v>0</v>
      </c>
      <c r="J88" s="8">
        <v>0.20833333333333334</v>
      </c>
      <c r="K88" s="9">
        <v>46322</v>
      </c>
      <c r="L88" s="9">
        <v>46322</v>
      </c>
      <c r="M88" s="31" t="s">
        <v>73</v>
      </c>
    </row>
    <row r="89" spans="1:13" ht="90" x14ac:dyDescent="0.25">
      <c r="A89" s="30" cm="1">
        <f t="array" aca="1" ref="A8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60</v>
      </c>
      <c r="B89" s="7" t="s">
        <v>242</v>
      </c>
      <c r="C89" s="6" t="s">
        <v>242</v>
      </c>
      <c r="D89" s="6" t="s">
        <v>82</v>
      </c>
      <c r="E89" s="42" t="s">
        <v>254</v>
      </c>
      <c r="F89" s="42" t="s">
        <v>255</v>
      </c>
      <c r="G89" s="6" t="s">
        <v>71</v>
      </c>
      <c r="H89" s="6" t="s">
        <v>256</v>
      </c>
      <c r="I89" s="8">
        <v>0</v>
      </c>
      <c r="J89" s="8">
        <v>0.20833333333333334</v>
      </c>
      <c r="K89" s="9">
        <v>46322</v>
      </c>
      <c r="L89" s="9">
        <v>46322</v>
      </c>
      <c r="M89" s="31" t="s">
        <v>257</v>
      </c>
    </row>
    <row r="90" spans="1:13" ht="90" x14ac:dyDescent="0.25">
      <c r="A90" s="30" cm="1">
        <f t="array" aca="1" ref="A9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61</v>
      </c>
      <c r="B90" s="7" t="s">
        <v>242</v>
      </c>
      <c r="C90" s="6" t="s">
        <v>242</v>
      </c>
      <c r="D90" s="6" t="s">
        <v>82</v>
      </c>
      <c r="E90" s="42" t="s">
        <v>254</v>
      </c>
      <c r="F90" s="42" t="s">
        <v>255</v>
      </c>
      <c r="G90" s="6" t="s">
        <v>71</v>
      </c>
      <c r="H90" s="6" t="s">
        <v>256</v>
      </c>
      <c r="I90" s="8">
        <v>0.89583333333333337</v>
      </c>
      <c r="J90" s="8">
        <v>0.99930555555555556</v>
      </c>
      <c r="K90" s="9">
        <v>46322</v>
      </c>
      <c r="L90" s="9">
        <v>46322</v>
      </c>
      <c r="M90" s="31" t="s">
        <v>257</v>
      </c>
    </row>
    <row r="91" spans="1:13" ht="45" x14ac:dyDescent="0.25">
      <c r="A91" s="30" cm="1">
        <f t="array" aca="1" ref="A9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62</v>
      </c>
      <c r="B91" s="7" t="s">
        <v>258</v>
      </c>
      <c r="C91" s="6" t="s">
        <v>258</v>
      </c>
      <c r="D91" s="6" t="s">
        <v>243</v>
      </c>
      <c r="E91" s="42" t="s">
        <v>259</v>
      </c>
      <c r="F91" s="42" t="s">
        <v>260</v>
      </c>
      <c r="G91" s="6" t="s">
        <v>122</v>
      </c>
      <c r="H91" s="6" t="s">
        <v>261</v>
      </c>
      <c r="I91" s="8">
        <v>0.29166666666666669</v>
      </c>
      <c r="J91" s="8">
        <v>0.375</v>
      </c>
      <c r="K91" s="9">
        <v>45365</v>
      </c>
      <c r="L91" s="9" t="s">
        <v>79</v>
      </c>
      <c r="M91" s="31" t="s">
        <v>241</v>
      </c>
    </row>
    <row r="92" spans="1:13" ht="45" x14ac:dyDescent="0.25">
      <c r="A92" s="30" cm="1">
        <f t="array" aca="1" ref="A9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63</v>
      </c>
      <c r="B92" s="7" t="s">
        <v>258</v>
      </c>
      <c r="C92" s="6" t="s">
        <v>258</v>
      </c>
      <c r="D92" s="6" t="s">
        <v>243</v>
      </c>
      <c r="E92" s="42" t="s">
        <v>259</v>
      </c>
      <c r="F92" s="42" t="s">
        <v>260</v>
      </c>
      <c r="G92" s="6" t="s">
        <v>122</v>
      </c>
      <c r="H92" s="6" t="s">
        <v>261</v>
      </c>
      <c r="I92" s="8">
        <v>0.56944444444444442</v>
      </c>
      <c r="J92" s="8">
        <v>0.59375</v>
      </c>
      <c r="K92" s="9">
        <v>45365</v>
      </c>
      <c r="L92" s="9" t="s">
        <v>79</v>
      </c>
      <c r="M92" s="31" t="s">
        <v>241</v>
      </c>
    </row>
    <row r="93" spans="1:13" ht="45" x14ac:dyDescent="0.25">
      <c r="A93" s="30" cm="1">
        <f t="array" aca="1" ref="A9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64</v>
      </c>
      <c r="B93" s="7" t="s">
        <v>258</v>
      </c>
      <c r="C93" s="6" t="s">
        <v>258</v>
      </c>
      <c r="D93" s="6" t="s">
        <v>243</v>
      </c>
      <c r="E93" s="42" t="s">
        <v>259</v>
      </c>
      <c r="F93" s="42" t="s">
        <v>260</v>
      </c>
      <c r="G93" s="6" t="s">
        <v>122</v>
      </c>
      <c r="H93" s="6" t="s">
        <v>261</v>
      </c>
      <c r="I93" s="8">
        <v>0.70833333333333337</v>
      </c>
      <c r="J93" s="8">
        <v>0.83333333333333337</v>
      </c>
      <c r="K93" s="9">
        <v>45365</v>
      </c>
      <c r="L93" s="9" t="s">
        <v>79</v>
      </c>
      <c r="M93" s="31" t="s">
        <v>241</v>
      </c>
    </row>
    <row r="94" spans="1:13" ht="45" x14ac:dyDescent="0.25">
      <c r="A94" s="30" cm="1">
        <f t="array" aca="1" ref="A9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65</v>
      </c>
      <c r="B94" s="7" t="s">
        <v>258</v>
      </c>
      <c r="C94" s="6" t="s">
        <v>262</v>
      </c>
      <c r="D94" s="6" t="s">
        <v>68</v>
      </c>
      <c r="E94" s="42">
        <v>24</v>
      </c>
      <c r="F94" s="42">
        <v>26</v>
      </c>
      <c r="G94" s="6" t="s">
        <v>71</v>
      </c>
      <c r="H94" s="6" t="s">
        <v>263</v>
      </c>
      <c r="I94" s="8">
        <v>0.45833333333333331</v>
      </c>
      <c r="J94" s="8">
        <v>0.70833333333333337</v>
      </c>
      <c r="K94" s="9">
        <v>46322</v>
      </c>
      <c r="L94" s="9">
        <v>46322</v>
      </c>
      <c r="M94" s="31" t="s">
        <v>73</v>
      </c>
    </row>
    <row r="95" spans="1:13" ht="30" x14ac:dyDescent="0.25">
      <c r="A95" s="30" cm="1">
        <f t="array" aca="1" ref="A9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66</v>
      </c>
      <c r="B95" s="7" t="s">
        <v>258</v>
      </c>
      <c r="C95" s="6" t="s">
        <v>262</v>
      </c>
      <c r="D95" s="6" t="s">
        <v>128</v>
      </c>
      <c r="E95" s="42" t="s">
        <v>264</v>
      </c>
      <c r="F95" s="42" t="s">
        <v>265</v>
      </c>
      <c r="G95" s="6" t="s">
        <v>95</v>
      </c>
      <c r="H95" s="6" t="s">
        <v>96</v>
      </c>
      <c r="I95" s="8">
        <v>0</v>
      </c>
      <c r="J95" s="8">
        <v>0.99930555555555556</v>
      </c>
      <c r="K95" s="9">
        <v>46287</v>
      </c>
      <c r="L95" s="9" t="s">
        <v>79</v>
      </c>
      <c r="M95" s="31" t="s">
        <v>97</v>
      </c>
    </row>
    <row r="96" spans="1:13" ht="30" x14ac:dyDescent="0.25">
      <c r="A96" s="30" cm="1">
        <f t="array" aca="1" ref="A9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67</v>
      </c>
      <c r="B96" s="7" t="s">
        <v>262</v>
      </c>
      <c r="C96" s="6" t="s">
        <v>262</v>
      </c>
      <c r="D96" s="6" t="s">
        <v>68</v>
      </c>
      <c r="E96" s="42">
        <v>27</v>
      </c>
      <c r="F96" s="42">
        <v>29</v>
      </c>
      <c r="G96" s="6" t="s">
        <v>71</v>
      </c>
      <c r="H96" s="6" t="s">
        <v>266</v>
      </c>
      <c r="I96" s="8">
        <v>0.45833333333333331</v>
      </c>
      <c r="J96" s="8">
        <v>0.70833333333333337</v>
      </c>
      <c r="K96" s="9">
        <v>46322</v>
      </c>
      <c r="L96" s="9">
        <v>46322</v>
      </c>
      <c r="M96" s="31" t="s">
        <v>73</v>
      </c>
    </row>
    <row r="97" spans="1:13" ht="45" x14ac:dyDescent="0.25">
      <c r="A97" s="30" cm="1">
        <f t="array" aca="1" ref="A9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68</v>
      </c>
      <c r="B97" s="7" t="s">
        <v>262</v>
      </c>
      <c r="C97" s="6" t="s">
        <v>262</v>
      </c>
      <c r="D97" s="6" t="s">
        <v>68</v>
      </c>
      <c r="E97" s="42" t="s">
        <v>267</v>
      </c>
      <c r="F97" s="42" t="s">
        <v>268</v>
      </c>
      <c r="G97" s="6" t="s">
        <v>71</v>
      </c>
      <c r="H97" s="6" t="s">
        <v>269</v>
      </c>
      <c r="I97" s="8">
        <v>0</v>
      </c>
      <c r="J97" s="8">
        <v>0.20833333333333334</v>
      </c>
      <c r="K97" s="9">
        <v>46322</v>
      </c>
      <c r="L97" s="9">
        <v>46322</v>
      </c>
      <c r="M97" s="31" t="s">
        <v>73</v>
      </c>
    </row>
    <row r="98" spans="1:13" ht="30.75" thickBot="1" x14ac:dyDescent="0.3">
      <c r="A98" s="30" cm="1">
        <f t="array" aca="1" ref="A9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69</v>
      </c>
      <c r="B98" s="7" t="s">
        <v>262</v>
      </c>
      <c r="C98" s="6" t="s">
        <v>262</v>
      </c>
      <c r="D98" s="6" t="s">
        <v>98</v>
      </c>
      <c r="E98" s="42" t="s">
        <v>267</v>
      </c>
      <c r="F98" s="42">
        <v>28</v>
      </c>
      <c r="G98" s="6" t="s">
        <v>71</v>
      </c>
      <c r="H98" s="6" t="s">
        <v>270</v>
      </c>
      <c r="I98" s="8">
        <v>0.95833333333333337</v>
      </c>
      <c r="J98" s="8">
        <v>0.99930555555555556</v>
      </c>
      <c r="K98" s="9">
        <v>46322</v>
      </c>
      <c r="L98" s="9">
        <v>46322</v>
      </c>
      <c r="M98" s="31" t="s">
        <v>159</v>
      </c>
    </row>
    <row r="99" spans="1:13" ht="22.5" customHeight="1" thickBot="1" x14ac:dyDescent="0.3">
      <c r="A99" s="47"/>
      <c r="B99" s="48"/>
      <c r="C99" s="48"/>
      <c r="D99" s="139" t="s">
        <v>28</v>
      </c>
      <c r="E99" s="139"/>
      <c r="F99" s="139"/>
      <c r="G99" s="139"/>
      <c r="H99" s="139"/>
      <c r="I99" s="139"/>
      <c r="J99" s="139"/>
      <c r="K99" s="139"/>
      <c r="L99" s="48"/>
      <c r="M99" s="49"/>
    </row>
    <row r="100" spans="1:13" ht="18" customHeight="1" x14ac:dyDescent="0.25">
      <c r="A100" s="149" t="s">
        <v>5</v>
      </c>
      <c r="B100" s="147" t="s">
        <v>0</v>
      </c>
      <c r="C100" s="148"/>
      <c r="D100" s="145" t="s">
        <v>11</v>
      </c>
      <c r="E100" s="151" t="s">
        <v>6</v>
      </c>
      <c r="F100" s="152"/>
      <c r="G100" s="145" t="s">
        <v>19</v>
      </c>
      <c r="H100" s="145" t="s">
        <v>16</v>
      </c>
      <c r="I100" s="137" t="s">
        <v>3</v>
      </c>
      <c r="J100" s="138"/>
      <c r="K100" s="135" t="s">
        <v>4</v>
      </c>
      <c r="L100" s="136"/>
      <c r="M100" s="103" t="s">
        <v>9</v>
      </c>
    </row>
    <row r="101" spans="1:13" ht="18" customHeight="1" x14ac:dyDescent="0.25">
      <c r="A101" s="150"/>
      <c r="B101" s="2" t="s">
        <v>1</v>
      </c>
      <c r="C101" s="5" t="s">
        <v>2</v>
      </c>
      <c r="D101" s="146"/>
      <c r="E101" s="41" t="s">
        <v>1</v>
      </c>
      <c r="F101" s="41" t="s">
        <v>2</v>
      </c>
      <c r="G101" s="146"/>
      <c r="H101" s="146"/>
      <c r="I101" s="10" t="s">
        <v>8</v>
      </c>
      <c r="J101" s="11" t="s">
        <v>17</v>
      </c>
      <c r="K101" s="11" t="s">
        <v>8</v>
      </c>
      <c r="L101" s="11" t="s">
        <v>17</v>
      </c>
      <c r="M101" s="104"/>
    </row>
    <row r="102" spans="1:13" ht="105" x14ac:dyDescent="0.25">
      <c r="A102" s="30" cm="1">
        <f t="array" aca="1" ref="A10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70</v>
      </c>
      <c r="B102" s="7" t="s">
        <v>66</v>
      </c>
      <c r="C102" s="6" t="s">
        <v>67</v>
      </c>
      <c r="D102" s="6" t="s">
        <v>271</v>
      </c>
      <c r="E102" s="42" t="s">
        <v>272</v>
      </c>
      <c r="F102" s="42" t="s">
        <v>273</v>
      </c>
      <c r="G102" s="6" t="s">
        <v>274</v>
      </c>
      <c r="H102" s="6" t="s">
        <v>275</v>
      </c>
      <c r="I102" s="46">
        <v>0.66666666666666663</v>
      </c>
      <c r="J102" s="46">
        <v>0.83333333333333337</v>
      </c>
      <c r="K102" s="9">
        <v>46322</v>
      </c>
      <c r="L102" s="9">
        <v>46322</v>
      </c>
      <c r="M102" s="31" t="s">
        <v>276</v>
      </c>
    </row>
    <row r="103" spans="1:13" ht="30" x14ac:dyDescent="0.25">
      <c r="A103" s="30" cm="1">
        <f t="array" aca="1" ref="A10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71</v>
      </c>
      <c r="B103" s="7" t="s">
        <v>66</v>
      </c>
      <c r="C103" s="6" t="s">
        <v>67</v>
      </c>
      <c r="D103" s="6" t="s">
        <v>277</v>
      </c>
      <c r="E103" s="42" t="s">
        <v>278</v>
      </c>
      <c r="F103" s="42" t="s">
        <v>273</v>
      </c>
      <c r="G103" s="6" t="s">
        <v>274</v>
      </c>
      <c r="H103" s="6" t="s">
        <v>279</v>
      </c>
      <c r="I103" s="46">
        <v>0.66666666666666663</v>
      </c>
      <c r="J103" s="46">
        <v>0.83333333333333337</v>
      </c>
      <c r="K103" s="9">
        <v>46322</v>
      </c>
      <c r="L103" s="9">
        <v>46322</v>
      </c>
      <c r="M103" s="31" t="s">
        <v>276</v>
      </c>
    </row>
    <row r="104" spans="1:13" ht="150" x14ac:dyDescent="0.25">
      <c r="A104" s="30" cm="1">
        <f t="array" aca="1" ref="A10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72</v>
      </c>
      <c r="B104" s="7" t="s">
        <v>66</v>
      </c>
      <c r="C104" s="6" t="s">
        <v>125</v>
      </c>
      <c r="D104" s="6" t="s">
        <v>271</v>
      </c>
      <c r="E104" s="42" t="s">
        <v>280</v>
      </c>
      <c r="F104" s="42" t="s">
        <v>281</v>
      </c>
      <c r="G104" s="6" t="s">
        <v>274</v>
      </c>
      <c r="H104" s="6" t="s">
        <v>282</v>
      </c>
      <c r="I104" s="46">
        <v>0</v>
      </c>
      <c r="J104" s="46">
        <v>0.20833333333333334</v>
      </c>
      <c r="K104" s="9">
        <v>46322</v>
      </c>
      <c r="L104" s="9">
        <v>46322</v>
      </c>
      <c r="M104" s="31" t="s">
        <v>283</v>
      </c>
    </row>
    <row r="105" spans="1:13" ht="75" x14ac:dyDescent="0.25">
      <c r="A105" s="30" cm="1">
        <f t="array" aca="1" ref="A10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73</v>
      </c>
      <c r="B105" s="7" t="s">
        <v>66</v>
      </c>
      <c r="C105" s="6" t="s">
        <v>125</v>
      </c>
      <c r="D105" s="6" t="s">
        <v>271</v>
      </c>
      <c r="E105" s="42" t="s">
        <v>280</v>
      </c>
      <c r="F105" s="42" t="s">
        <v>284</v>
      </c>
      <c r="G105" s="6" t="s">
        <v>274</v>
      </c>
      <c r="H105" s="6" t="s">
        <v>285</v>
      </c>
      <c r="I105" s="46">
        <v>0.97916666666666663</v>
      </c>
      <c r="J105" s="46">
        <v>0.99930555555555556</v>
      </c>
      <c r="K105" s="9">
        <v>46322</v>
      </c>
      <c r="L105" s="9">
        <v>46322</v>
      </c>
      <c r="M105" s="31" t="s">
        <v>286</v>
      </c>
    </row>
    <row r="106" spans="1:13" ht="225" x14ac:dyDescent="0.25">
      <c r="A106" s="30" cm="1">
        <f t="array" aca="1" ref="A10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74</v>
      </c>
      <c r="B106" s="7" t="s">
        <v>66</v>
      </c>
      <c r="C106" s="6" t="s">
        <v>262</v>
      </c>
      <c r="D106" s="6" t="s">
        <v>271</v>
      </c>
      <c r="E106" s="42" t="s">
        <v>287</v>
      </c>
      <c r="F106" s="42" t="s">
        <v>288</v>
      </c>
      <c r="G106" s="6" t="s">
        <v>274</v>
      </c>
      <c r="H106" s="6" t="s">
        <v>289</v>
      </c>
      <c r="I106" s="46">
        <v>0</v>
      </c>
      <c r="J106" s="46">
        <v>0.1875</v>
      </c>
      <c r="K106" s="9">
        <v>46322</v>
      </c>
      <c r="L106" s="9">
        <v>46322</v>
      </c>
      <c r="M106" s="31" t="s">
        <v>167</v>
      </c>
    </row>
    <row r="107" spans="1:13" ht="255" x14ac:dyDescent="0.25">
      <c r="A107" s="30" cm="1">
        <f t="array" aca="1" ref="A10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75</v>
      </c>
      <c r="B107" s="7" t="s">
        <v>66</v>
      </c>
      <c r="C107" s="6" t="s">
        <v>262</v>
      </c>
      <c r="D107" s="6" t="s">
        <v>271</v>
      </c>
      <c r="E107" s="42" t="s">
        <v>287</v>
      </c>
      <c r="F107" s="42" t="s">
        <v>288</v>
      </c>
      <c r="G107" s="6" t="s">
        <v>274</v>
      </c>
      <c r="H107" s="6" t="s">
        <v>290</v>
      </c>
      <c r="I107" s="46">
        <v>0.98611111111111116</v>
      </c>
      <c r="J107" s="46">
        <v>0.99930555555555556</v>
      </c>
      <c r="K107" s="9">
        <v>46322</v>
      </c>
      <c r="L107" s="9">
        <v>46322</v>
      </c>
      <c r="M107" s="31" t="s">
        <v>167</v>
      </c>
    </row>
    <row r="108" spans="1:13" ht="150" x14ac:dyDescent="0.25">
      <c r="A108" s="30" cm="1">
        <f t="array" aca="1" ref="A10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76</v>
      </c>
      <c r="B108" s="7" t="s">
        <v>125</v>
      </c>
      <c r="C108" s="6" t="s">
        <v>185</v>
      </c>
      <c r="D108" s="6" t="s">
        <v>271</v>
      </c>
      <c r="E108" s="42" t="s">
        <v>281</v>
      </c>
      <c r="F108" s="42" t="s">
        <v>291</v>
      </c>
      <c r="G108" s="6" t="s">
        <v>274</v>
      </c>
      <c r="H108" s="6" t="s">
        <v>292</v>
      </c>
      <c r="I108" s="46">
        <v>0.95833333333333337</v>
      </c>
      <c r="J108" s="46">
        <v>0.99930555555555556</v>
      </c>
      <c r="K108" s="9">
        <v>46322</v>
      </c>
      <c r="L108" s="9">
        <v>46322</v>
      </c>
      <c r="M108" s="31" t="s">
        <v>283</v>
      </c>
    </row>
    <row r="109" spans="1:13" ht="45" x14ac:dyDescent="0.25">
      <c r="A109" s="30" cm="1">
        <f t="array" aca="1" ref="A10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77</v>
      </c>
      <c r="B109" s="7" t="s">
        <v>192</v>
      </c>
      <c r="C109" s="6" t="s">
        <v>192</v>
      </c>
      <c r="D109" s="6" t="s">
        <v>92</v>
      </c>
      <c r="E109" s="42">
        <v>0</v>
      </c>
      <c r="F109" s="42">
        <v>1</v>
      </c>
      <c r="G109" s="6" t="s">
        <v>274</v>
      </c>
      <c r="H109" s="6" t="s">
        <v>293</v>
      </c>
      <c r="I109" s="46">
        <v>0</v>
      </c>
      <c r="J109" s="46">
        <v>0.20833333333333334</v>
      </c>
      <c r="K109" s="9">
        <v>46322</v>
      </c>
      <c r="L109" s="9">
        <v>46322</v>
      </c>
      <c r="M109" s="31" t="s">
        <v>294</v>
      </c>
    </row>
    <row r="110" spans="1:13" ht="75" x14ac:dyDescent="0.25">
      <c r="A110" s="30" cm="1">
        <f t="array" aca="1" ref="A11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78</v>
      </c>
      <c r="B110" s="7" t="s">
        <v>125</v>
      </c>
      <c r="C110" s="6" t="s">
        <v>125</v>
      </c>
      <c r="D110" s="6" t="s">
        <v>295</v>
      </c>
      <c r="E110" s="42" t="s">
        <v>296</v>
      </c>
      <c r="F110" s="42" t="s">
        <v>200</v>
      </c>
      <c r="G110" s="6" t="s">
        <v>274</v>
      </c>
      <c r="H110" s="6" t="s">
        <v>297</v>
      </c>
      <c r="I110" s="46">
        <v>0</v>
      </c>
      <c r="J110" s="46">
        <v>0.20833333333333334</v>
      </c>
      <c r="K110" s="9">
        <v>46322</v>
      </c>
      <c r="L110" s="9">
        <v>46322</v>
      </c>
      <c r="M110" s="31" t="s">
        <v>167</v>
      </c>
    </row>
    <row r="111" spans="1:13" ht="75" x14ac:dyDescent="0.25">
      <c r="A111" s="30" cm="1">
        <f t="array" aca="1" ref="A11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79</v>
      </c>
      <c r="B111" s="7" t="s">
        <v>125</v>
      </c>
      <c r="C111" s="6" t="s">
        <v>125</v>
      </c>
      <c r="D111" s="6" t="s">
        <v>298</v>
      </c>
      <c r="E111" s="42" t="s">
        <v>296</v>
      </c>
      <c r="F111" s="42" t="s">
        <v>299</v>
      </c>
      <c r="G111" s="6" t="s">
        <v>274</v>
      </c>
      <c r="H111" s="6" t="s">
        <v>297</v>
      </c>
      <c r="I111" s="46">
        <v>0.98611111111111116</v>
      </c>
      <c r="J111" s="46">
        <v>0.99930555555555556</v>
      </c>
      <c r="K111" s="9">
        <v>46322</v>
      </c>
      <c r="L111" s="9">
        <v>46322</v>
      </c>
      <c r="M111" s="31" t="s">
        <v>167</v>
      </c>
    </row>
    <row r="112" spans="1:13" ht="60" x14ac:dyDescent="0.25">
      <c r="A112" s="30" cm="1">
        <f t="array" aca="1" ref="A11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80</v>
      </c>
      <c r="B112" s="7" t="s">
        <v>125</v>
      </c>
      <c r="C112" s="6" t="s">
        <v>262</v>
      </c>
      <c r="D112" s="6" t="s">
        <v>300</v>
      </c>
      <c r="E112" s="42" t="s">
        <v>301</v>
      </c>
      <c r="F112" s="42" t="s">
        <v>302</v>
      </c>
      <c r="G112" s="6" t="s">
        <v>274</v>
      </c>
      <c r="H112" s="6" t="s">
        <v>303</v>
      </c>
      <c r="I112" s="46">
        <v>0</v>
      </c>
      <c r="J112" s="46">
        <v>0.20833333333333334</v>
      </c>
      <c r="K112" s="9">
        <v>46322</v>
      </c>
      <c r="L112" s="9">
        <v>46322</v>
      </c>
      <c r="M112" s="31" t="s">
        <v>257</v>
      </c>
    </row>
    <row r="113" spans="1:13" ht="150" x14ac:dyDescent="0.25">
      <c r="A113" s="30" cm="1">
        <f t="array" aca="1" ref="A11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81</v>
      </c>
      <c r="B113" s="7" t="s">
        <v>125</v>
      </c>
      <c r="C113" s="6" t="s">
        <v>262</v>
      </c>
      <c r="D113" s="6" t="s">
        <v>271</v>
      </c>
      <c r="E113" s="42" t="s">
        <v>301</v>
      </c>
      <c r="F113" s="42" t="s">
        <v>304</v>
      </c>
      <c r="G113" s="6" t="s">
        <v>274</v>
      </c>
      <c r="H113" s="6" t="s">
        <v>305</v>
      </c>
      <c r="I113" s="46">
        <v>0</v>
      </c>
      <c r="J113" s="46">
        <v>0.20833333333333334</v>
      </c>
      <c r="K113" s="9">
        <v>46322</v>
      </c>
      <c r="L113" s="9">
        <v>46322</v>
      </c>
      <c r="M113" s="31" t="s">
        <v>283</v>
      </c>
    </row>
    <row r="114" spans="1:13" ht="90" x14ac:dyDescent="0.25">
      <c r="A114" s="30" cm="1">
        <f t="array" aca="1" ref="A11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82</v>
      </c>
      <c r="B114" s="7" t="s">
        <v>125</v>
      </c>
      <c r="C114" s="6" t="s">
        <v>262</v>
      </c>
      <c r="D114" s="6" t="s">
        <v>271</v>
      </c>
      <c r="E114" s="42" t="s">
        <v>301</v>
      </c>
      <c r="F114" s="42" t="s">
        <v>304</v>
      </c>
      <c r="G114" s="6" t="s">
        <v>274</v>
      </c>
      <c r="H114" s="6" t="s">
        <v>306</v>
      </c>
      <c r="I114" s="46">
        <v>0</v>
      </c>
      <c r="J114" s="46">
        <v>0.20833333333333334</v>
      </c>
      <c r="K114" s="9">
        <v>46322</v>
      </c>
      <c r="L114" s="9">
        <v>46322</v>
      </c>
      <c r="M114" s="31" t="s">
        <v>206</v>
      </c>
    </row>
    <row r="115" spans="1:13" ht="60" x14ac:dyDescent="0.25">
      <c r="A115" s="30" cm="1">
        <f t="array" aca="1" ref="A11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83</v>
      </c>
      <c r="B115" s="7" t="s">
        <v>125</v>
      </c>
      <c r="C115" s="6" t="s">
        <v>262</v>
      </c>
      <c r="D115" s="6" t="s">
        <v>300</v>
      </c>
      <c r="E115" s="42" t="s">
        <v>301</v>
      </c>
      <c r="F115" s="42" t="s">
        <v>302</v>
      </c>
      <c r="G115" s="6" t="s">
        <v>274</v>
      </c>
      <c r="H115" s="6" t="s">
        <v>303</v>
      </c>
      <c r="I115" s="46">
        <v>0.95833333333333337</v>
      </c>
      <c r="J115" s="46">
        <v>0.99930555555555556</v>
      </c>
      <c r="K115" s="9">
        <v>46322</v>
      </c>
      <c r="L115" s="9">
        <v>46322</v>
      </c>
      <c r="M115" s="31" t="s">
        <v>257</v>
      </c>
    </row>
    <row r="116" spans="1:13" ht="150" x14ac:dyDescent="0.25">
      <c r="A116" s="30" cm="1">
        <f t="array" aca="1" ref="A11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84</v>
      </c>
      <c r="B116" s="7" t="s">
        <v>125</v>
      </c>
      <c r="C116" s="6" t="s">
        <v>262</v>
      </c>
      <c r="D116" s="6" t="s">
        <v>271</v>
      </c>
      <c r="E116" s="42" t="s">
        <v>301</v>
      </c>
      <c r="F116" s="42" t="s">
        <v>304</v>
      </c>
      <c r="G116" s="6" t="s">
        <v>274</v>
      </c>
      <c r="H116" s="6" t="s">
        <v>305</v>
      </c>
      <c r="I116" s="46">
        <v>0.95833333333333337</v>
      </c>
      <c r="J116" s="46">
        <v>0.99930555555555556</v>
      </c>
      <c r="K116" s="9">
        <v>46322</v>
      </c>
      <c r="L116" s="9">
        <v>46322</v>
      </c>
      <c r="M116" s="31" t="s">
        <v>283</v>
      </c>
    </row>
    <row r="117" spans="1:13" ht="75" x14ac:dyDescent="0.25">
      <c r="A117" s="30" cm="1">
        <f t="array" aca="1" ref="A11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85</v>
      </c>
      <c r="B117" s="7" t="s">
        <v>125</v>
      </c>
      <c r="C117" s="6" t="s">
        <v>262</v>
      </c>
      <c r="D117" s="6" t="s">
        <v>271</v>
      </c>
      <c r="E117" s="42" t="s">
        <v>301</v>
      </c>
      <c r="F117" s="42" t="s">
        <v>304</v>
      </c>
      <c r="G117" s="6" t="s">
        <v>274</v>
      </c>
      <c r="H117" s="6" t="s">
        <v>307</v>
      </c>
      <c r="I117" s="46">
        <v>0.97916666666666663</v>
      </c>
      <c r="J117" s="46">
        <v>0.99930555555555556</v>
      </c>
      <c r="K117" s="9">
        <v>46322</v>
      </c>
      <c r="L117" s="9">
        <v>46322</v>
      </c>
      <c r="M117" s="31" t="s">
        <v>286</v>
      </c>
    </row>
    <row r="118" spans="1:13" ht="135" x14ac:dyDescent="0.25">
      <c r="A118" s="30" cm="1">
        <f t="array" aca="1" ref="A11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86</v>
      </c>
      <c r="B118" s="7" t="s">
        <v>125</v>
      </c>
      <c r="C118" s="6" t="s">
        <v>215</v>
      </c>
      <c r="D118" s="6" t="s">
        <v>98</v>
      </c>
      <c r="E118" s="42" t="s">
        <v>200</v>
      </c>
      <c r="F118" s="42" t="s">
        <v>219</v>
      </c>
      <c r="G118" s="6" t="s">
        <v>274</v>
      </c>
      <c r="H118" s="6" t="s">
        <v>308</v>
      </c>
      <c r="I118" s="46">
        <v>0</v>
      </c>
      <c r="J118" s="46">
        <v>0.20833333333333334</v>
      </c>
      <c r="K118" s="9">
        <v>46322</v>
      </c>
      <c r="L118" s="9">
        <v>46322</v>
      </c>
      <c r="M118" s="31" t="s">
        <v>167</v>
      </c>
    </row>
    <row r="119" spans="1:13" ht="135" x14ac:dyDescent="0.25">
      <c r="A119" s="30" cm="1">
        <f t="array" aca="1" ref="A11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87</v>
      </c>
      <c r="B119" s="7" t="s">
        <v>125</v>
      </c>
      <c r="C119" s="6" t="s">
        <v>215</v>
      </c>
      <c r="D119" s="6" t="s">
        <v>128</v>
      </c>
      <c r="E119" s="42" t="s">
        <v>299</v>
      </c>
      <c r="F119" s="42" t="s">
        <v>219</v>
      </c>
      <c r="G119" s="6" t="s">
        <v>274</v>
      </c>
      <c r="H119" s="6" t="s">
        <v>308</v>
      </c>
      <c r="I119" s="46">
        <v>0.98611111111111116</v>
      </c>
      <c r="J119" s="46">
        <v>0.99930555555555556</v>
      </c>
      <c r="K119" s="9">
        <v>46322</v>
      </c>
      <c r="L119" s="9">
        <v>46322</v>
      </c>
      <c r="M119" s="31" t="s">
        <v>167</v>
      </c>
    </row>
    <row r="120" spans="1:13" ht="135" x14ac:dyDescent="0.25">
      <c r="A120" s="30" cm="1">
        <f t="array" aca="1" ref="A12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88</v>
      </c>
      <c r="B120" s="7" t="s">
        <v>201</v>
      </c>
      <c r="C120" s="6" t="s">
        <v>227</v>
      </c>
      <c r="D120" s="6" t="s">
        <v>98</v>
      </c>
      <c r="E120" s="42" t="s">
        <v>219</v>
      </c>
      <c r="F120" s="42" t="s">
        <v>235</v>
      </c>
      <c r="G120" s="6" t="s">
        <v>274</v>
      </c>
      <c r="H120" s="6" t="s">
        <v>309</v>
      </c>
      <c r="I120" s="46">
        <v>0</v>
      </c>
      <c r="J120" s="46">
        <v>0.20833333333333334</v>
      </c>
      <c r="K120" s="9">
        <v>46322</v>
      </c>
      <c r="L120" s="9">
        <v>46322</v>
      </c>
      <c r="M120" s="31" t="s">
        <v>167</v>
      </c>
    </row>
    <row r="121" spans="1:13" ht="135" x14ac:dyDescent="0.25">
      <c r="A121" s="30" cm="1">
        <f t="array" aca="1" ref="A12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89</v>
      </c>
      <c r="B121" s="7" t="s">
        <v>201</v>
      </c>
      <c r="C121" s="6" t="s">
        <v>227</v>
      </c>
      <c r="D121" s="6" t="s">
        <v>128</v>
      </c>
      <c r="E121" s="42" t="s">
        <v>219</v>
      </c>
      <c r="F121" s="42" t="s">
        <v>235</v>
      </c>
      <c r="G121" s="6" t="s">
        <v>274</v>
      </c>
      <c r="H121" s="6" t="s">
        <v>309</v>
      </c>
      <c r="I121" s="46">
        <v>0.98611111111111116</v>
      </c>
      <c r="J121" s="46">
        <v>0.99930555555555556</v>
      </c>
      <c r="K121" s="9">
        <v>46322</v>
      </c>
      <c r="L121" s="9">
        <v>46322</v>
      </c>
      <c r="M121" s="31" t="s">
        <v>167</v>
      </c>
    </row>
    <row r="122" spans="1:13" ht="60" x14ac:dyDescent="0.25">
      <c r="A122" s="30" cm="1">
        <f t="array" aca="1" ref="A12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90</v>
      </c>
      <c r="B122" s="7" t="s">
        <v>215</v>
      </c>
      <c r="C122" s="6" t="s">
        <v>215</v>
      </c>
      <c r="D122" s="6" t="s">
        <v>98</v>
      </c>
      <c r="E122" s="42" t="s">
        <v>310</v>
      </c>
      <c r="F122" s="42" t="s">
        <v>311</v>
      </c>
      <c r="G122" s="6" t="s">
        <v>274</v>
      </c>
      <c r="H122" s="6" t="s">
        <v>312</v>
      </c>
      <c r="I122" s="46">
        <v>0</v>
      </c>
      <c r="J122" s="46">
        <v>0.20833333333333334</v>
      </c>
      <c r="K122" s="9">
        <v>46322</v>
      </c>
      <c r="L122" s="9">
        <v>46322</v>
      </c>
      <c r="M122" s="31" t="s">
        <v>313</v>
      </c>
    </row>
    <row r="123" spans="1:13" ht="60" x14ac:dyDescent="0.25">
      <c r="A123" s="30" cm="1">
        <f t="array" aca="1" ref="A12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91</v>
      </c>
      <c r="B123" s="7" t="s">
        <v>215</v>
      </c>
      <c r="C123" s="6" t="s">
        <v>215</v>
      </c>
      <c r="D123" s="6" t="s">
        <v>128</v>
      </c>
      <c r="E123" s="42" t="s">
        <v>310</v>
      </c>
      <c r="F123" s="42" t="s">
        <v>311</v>
      </c>
      <c r="G123" s="6" t="s">
        <v>274</v>
      </c>
      <c r="H123" s="6" t="s">
        <v>314</v>
      </c>
      <c r="I123" s="46">
        <v>0.95833333333333337</v>
      </c>
      <c r="J123" s="46">
        <v>0.99930555555555556</v>
      </c>
      <c r="K123" s="9">
        <v>46322</v>
      </c>
      <c r="L123" s="9">
        <v>46322</v>
      </c>
      <c r="M123" s="31" t="s">
        <v>313</v>
      </c>
    </row>
    <row r="124" spans="1:13" ht="45" x14ac:dyDescent="0.25">
      <c r="A124" s="30" cm="1">
        <f t="array" aca="1" ref="A12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92</v>
      </c>
      <c r="B124" s="7" t="s">
        <v>227</v>
      </c>
      <c r="C124" s="6" t="s">
        <v>227</v>
      </c>
      <c r="D124" s="6" t="s">
        <v>128</v>
      </c>
      <c r="E124" s="42" t="s">
        <v>235</v>
      </c>
      <c r="F124" s="42" t="s">
        <v>236</v>
      </c>
      <c r="G124" s="6" t="s">
        <v>274</v>
      </c>
      <c r="H124" s="6" t="s">
        <v>315</v>
      </c>
      <c r="I124" s="46">
        <v>0</v>
      </c>
      <c r="J124" s="46">
        <v>0.20833333333333334</v>
      </c>
      <c r="K124" s="9">
        <v>46322</v>
      </c>
      <c r="L124" s="9">
        <v>46322</v>
      </c>
      <c r="M124" s="31" t="s">
        <v>294</v>
      </c>
    </row>
    <row r="125" spans="1:13" ht="75" x14ac:dyDescent="0.25">
      <c r="A125" s="30" cm="1">
        <f t="array" aca="1" ref="A12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93</v>
      </c>
      <c r="B125" s="7" t="s">
        <v>227</v>
      </c>
      <c r="C125" s="6" t="s">
        <v>242</v>
      </c>
      <c r="D125" s="6" t="s">
        <v>98</v>
      </c>
      <c r="E125" s="42" t="s">
        <v>235</v>
      </c>
      <c r="F125" s="42" t="s">
        <v>316</v>
      </c>
      <c r="G125" s="6" t="s">
        <v>274</v>
      </c>
      <c r="H125" s="6" t="s">
        <v>317</v>
      </c>
      <c r="I125" s="46">
        <v>0</v>
      </c>
      <c r="J125" s="46">
        <v>0.20833333333333334</v>
      </c>
      <c r="K125" s="9">
        <v>46322</v>
      </c>
      <c r="L125" s="9">
        <v>46322</v>
      </c>
      <c r="M125" s="31" t="s">
        <v>167</v>
      </c>
    </row>
    <row r="126" spans="1:13" ht="75" x14ac:dyDescent="0.25">
      <c r="A126" s="30" cm="1">
        <f t="array" aca="1" ref="A12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94</v>
      </c>
      <c r="B126" s="7" t="s">
        <v>227</v>
      </c>
      <c r="C126" s="6" t="s">
        <v>242</v>
      </c>
      <c r="D126" s="6" t="s">
        <v>128</v>
      </c>
      <c r="E126" s="42" t="s">
        <v>235</v>
      </c>
      <c r="F126" s="42" t="s">
        <v>316</v>
      </c>
      <c r="G126" s="6" t="s">
        <v>274</v>
      </c>
      <c r="H126" s="6" t="s">
        <v>317</v>
      </c>
      <c r="I126" s="46">
        <v>0.98611111111111116</v>
      </c>
      <c r="J126" s="46">
        <v>0.99930555555555556</v>
      </c>
      <c r="K126" s="9">
        <v>46322</v>
      </c>
      <c r="L126" s="9">
        <v>46322</v>
      </c>
      <c r="M126" s="31" t="s">
        <v>167</v>
      </c>
    </row>
    <row r="127" spans="1:13" ht="75" x14ac:dyDescent="0.25">
      <c r="A127" s="30" cm="1">
        <f t="array" aca="1" ref="A12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95</v>
      </c>
      <c r="B127" s="7" t="s">
        <v>227</v>
      </c>
      <c r="C127" s="6" t="s">
        <v>258</v>
      </c>
      <c r="D127" s="6" t="s">
        <v>98</v>
      </c>
      <c r="E127" s="42" t="s">
        <v>316</v>
      </c>
      <c r="F127" s="42" t="s">
        <v>318</v>
      </c>
      <c r="G127" s="6" t="s">
        <v>274</v>
      </c>
      <c r="H127" s="6" t="s">
        <v>319</v>
      </c>
      <c r="I127" s="46">
        <v>0</v>
      </c>
      <c r="J127" s="46">
        <v>0.20833333333333334</v>
      </c>
      <c r="K127" s="9">
        <v>46322</v>
      </c>
      <c r="L127" s="9">
        <v>46322</v>
      </c>
      <c r="M127" s="31" t="s">
        <v>167</v>
      </c>
    </row>
    <row r="128" spans="1:13" ht="75" x14ac:dyDescent="0.25">
      <c r="A128" s="30" cm="1">
        <f t="array" aca="1" ref="A12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96</v>
      </c>
      <c r="B128" s="7" t="s">
        <v>227</v>
      </c>
      <c r="C128" s="6" t="s">
        <v>258</v>
      </c>
      <c r="D128" s="6" t="s">
        <v>128</v>
      </c>
      <c r="E128" s="42" t="s">
        <v>316</v>
      </c>
      <c r="F128" s="42" t="s">
        <v>318</v>
      </c>
      <c r="G128" s="6" t="s">
        <v>274</v>
      </c>
      <c r="H128" s="6" t="s">
        <v>319</v>
      </c>
      <c r="I128" s="46">
        <v>0.98611111111111116</v>
      </c>
      <c r="J128" s="46">
        <v>0.99930555555555556</v>
      </c>
      <c r="K128" s="9">
        <v>46322</v>
      </c>
      <c r="L128" s="9">
        <v>46322</v>
      </c>
      <c r="M128" s="31" t="s">
        <v>167</v>
      </c>
    </row>
    <row r="129" spans="1:13" ht="135" x14ac:dyDescent="0.25">
      <c r="A129" s="30" cm="1">
        <f t="array" aca="1" ref="A12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97</v>
      </c>
      <c r="B129" s="7" t="s">
        <v>242</v>
      </c>
      <c r="C129" s="6" t="s">
        <v>262</v>
      </c>
      <c r="D129" s="6" t="s">
        <v>98</v>
      </c>
      <c r="E129" s="42" t="s">
        <v>318</v>
      </c>
      <c r="F129" s="42" t="s">
        <v>320</v>
      </c>
      <c r="G129" s="6" t="s">
        <v>274</v>
      </c>
      <c r="H129" s="6" t="s">
        <v>321</v>
      </c>
      <c r="I129" s="46">
        <v>0</v>
      </c>
      <c r="J129" s="46">
        <v>0.20833333333333334</v>
      </c>
      <c r="K129" s="9">
        <v>46322</v>
      </c>
      <c r="L129" s="9">
        <v>46322</v>
      </c>
      <c r="M129" s="31" t="s">
        <v>167</v>
      </c>
    </row>
    <row r="130" spans="1:13" ht="135" x14ac:dyDescent="0.25">
      <c r="A130" s="30" cm="1">
        <f t="array" aca="1" ref="A13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98</v>
      </c>
      <c r="B130" s="7" t="s">
        <v>242</v>
      </c>
      <c r="C130" s="6" t="s">
        <v>262</v>
      </c>
      <c r="D130" s="6" t="s">
        <v>128</v>
      </c>
      <c r="E130" s="42" t="s">
        <v>318</v>
      </c>
      <c r="F130" s="42" t="s">
        <v>320</v>
      </c>
      <c r="G130" s="6" t="s">
        <v>274</v>
      </c>
      <c r="H130" s="6" t="s">
        <v>321</v>
      </c>
      <c r="I130" s="46">
        <v>0.98611111111111116</v>
      </c>
      <c r="J130" s="46">
        <v>0.99930555555555556</v>
      </c>
      <c r="K130" s="9">
        <v>46322</v>
      </c>
      <c r="L130" s="9">
        <v>46322</v>
      </c>
      <c r="M130" s="31" t="s">
        <v>167</v>
      </c>
    </row>
    <row r="131" spans="1:13" ht="45" x14ac:dyDescent="0.25">
      <c r="A131" s="30" cm="1">
        <f t="array" aca="1" ref="A13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99</v>
      </c>
      <c r="B131" s="7" t="s">
        <v>262</v>
      </c>
      <c r="C131" s="6" t="s">
        <v>262</v>
      </c>
      <c r="D131" s="6" t="s">
        <v>98</v>
      </c>
      <c r="E131" s="42" t="s">
        <v>267</v>
      </c>
      <c r="F131" s="42">
        <v>28</v>
      </c>
      <c r="G131" s="6" t="s">
        <v>274</v>
      </c>
      <c r="H131" s="6" t="s">
        <v>322</v>
      </c>
      <c r="I131" s="46">
        <v>0</v>
      </c>
      <c r="J131" s="46">
        <v>0.20833333333333334</v>
      </c>
      <c r="K131" s="9">
        <v>46322</v>
      </c>
      <c r="L131" s="9">
        <v>46322</v>
      </c>
      <c r="M131" s="31" t="s">
        <v>294</v>
      </c>
    </row>
    <row r="132" spans="1:13" ht="105" x14ac:dyDescent="0.25">
      <c r="A132" s="30" cm="1">
        <f t="array" aca="1" ref="A13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100</v>
      </c>
      <c r="B132" s="7" t="s">
        <v>323</v>
      </c>
      <c r="C132" s="6" t="s">
        <v>323</v>
      </c>
      <c r="D132" s="156" t="s">
        <v>324</v>
      </c>
      <c r="E132" s="157"/>
      <c r="F132" s="157"/>
      <c r="G132" s="158"/>
      <c r="H132" s="6" t="s">
        <v>325</v>
      </c>
      <c r="I132" s="46">
        <v>0</v>
      </c>
      <c r="J132" s="46">
        <v>0.16666666666666666</v>
      </c>
      <c r="K132" s="9">
        <v>46322</v>
      </c>
      <c r="L132" s="9">
        <v>46322</v>
      </c>
      <c r="M132" s="31" t="s">
        <v>326</v>
      </c>
    </row>
    <row r="133" spans="1:13" ht="105" x14ac:dyDescent="0.25">
      <c r="A133" s="30" cm="1">
        <f t="array" aca="1" ref="A13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101</v>
      </c>
      <c r="B133" s="7" t="s">
        <v>323</v>
      </c>
      <c r="C133" s="6" t="s">
        <v>323</v>
      </c>
      <c r="D133" s="156" t="s">
        <v>324</v>
      </c>
      <c r="E133" s="157"/>
      <c r="F133" s="157"/>
      <c r="G133" s="158"/>
      <c r="H133" s="6" t="s">
        <v>327</v>
      </c>
      <c r="I133" s="46">
        <v>0.95833333333333337</v>
      </c>
      <c r="J133" s="46">
        <v>0.99930555555555556</v>
      </c>
      <c r="K133" s="9">
        <v>46322</v>
      </c>
      <c r="L133" s="9">
        <v>46322</v>
      </c>
      <c r="M133" s="31" t="s">
        <v>326</v>
      </c>
    </row>
    <row r="134" spans="1:13" ht="4.5" customHeight="1" thickBot="1" x14ac:dyDescent="0.3">
      <c r="A134" s="23"/>
      <c r="B134" s="17"/>
      <c r="C134" s="18"/>
      <c r="D134" s="18"/>
      <c r="E134" s="43"/>
      <c r="F134" s="43"/>
      <c r="G134" s="18"/>
      <c r="H134" s="18"/>
      <c r="I134" s="19"/>
      <c r="J134" s="19"/>
      <c r="K134" s="20"/>
      <c r="L134" s="20"/>
      <c r="M134" s="21"/>
    </row>
    <row r="135" spans="1:13" ht="15" customHeight="1" x14ac:dyDescent="0.25">
      <c r="A135" s="169" t="s">
        <v>59</v>
      </c>
      <c r="B135" s="170"/>
      <c r="C135" s="170"/>
      <c r="D135" s="170"/>
      <c r="E135" s="170"/>
      <c r="F135" s="170"/>
      <c r="G135" s="170"/>
      <c r="H135" s="170"/>
      <c r="I135" s="170"/>
      <c r="J135" s="170"/>
      <c r="K135" s="170"/>
      <c r="L135" s="170"/>
      <c r="M135" s="171"/>
    </row>
    <row r="136" spans="1:13" ht="15" customHeight="1" thickBot="1" x14ac:dyDescent="0.3">
      <c r="A136" s="172"/>
      <c r="B136" s="173"/>
      <c r="C136" s="173"/>
      <c r="D136" s="173"/>
      <c r="E136" s="173"/>
      <c r="F136" s="173"/>
      <c r="G136" s="173"/>
      <c r="H136" s="173"/>
      <c r="I136" s="173"/>
      <c r="J136" s="173"/>
      <c r="K136" s="173"/>
      <c r="L136" s="173"/>
      <c r="M136" s="174"/>
    </row>
    <row r="137" spans="1:13" ht="15" customHeight="1" x14ac:dyDescent="0.25">
      <c r="A137" s="175" t="s">
        <v>60</v>
      </c>
      <c r="B137" s="176"/>
      <c r="C137" s="176"/>
      <c r="D137" s="176"/>
      <c r="E137" s="176"/>
      <c r="F137" s="176"/>
      <c r="G137" s="176"/>
      <c r="H137" s="176"/>
      <c r="I137" s="176"/>
      <c r="J137" s="176"/>
      <c r="K137" s="176"/>
      <c r="L137" s="176"/>
      <c r="M137" s="177"/>
    </row>
    <row r="138" spans="1:13" ht="15" customHeight="1" thickBot="1" x14ac:dyDescent="0.3">
      <c r="A138" s="178"/>
      <c r="B138" s="179"/>
      <c r="C138" s="179"/>
      <c r="D138" s="179"/>
      <c r="E138" s="179"/>
      <c r="F138" s="179"/>
      <c r="G138" s="179"/>
      <c r="H138" s="179"/>
      <c r="I138" s="179"/>
      <c r="J138" s="179"/>
      <c r="K138" s="179"/>
      <c r="L138" s="179"/>
      <c r="M138" s="180"/>
    </row>
    <row r="139" spans="1:13" s="22" customFormat="1" ht="23.25" x14ac:dyDescent="0.25">
      <c r="A139" s="181" t="s">
        <v>62</v>
      </c>
      <c r="B139" s="182"/>
      <c r="C139" s="182"/>
      <c r="D139" s="182"/>
      <c r="E139" s="182"/>
      <c r="F139" s="182"/>
      <c r="G139" s="182"/>
      <c r="H139" s="182"/>
      <c r="I139" s="182"/>
      <c r="J139" s="182"/>
      <c r="K139" s="182"/>
      <c r="L139" s="182"/>
      <c r="M139" s="183"/>
    </row>
    <row r="140" spans="1:13" s="22" customFormat="1" ht="23.25" x14ac:dyDescent="0.25">
      <c r="A140" s="160" t="s">
        <v>23</v>
      </c>
      <c r="B140" s="161"/>
      <c r="C140" s="161"/>
      <c r="D140" s="161"/>
      <c r="E140" s="161"/>
      <c r="F140" s="161"/>
      <c r="G140" s="161"/>
      <c r="H140" s="161"/>
      <c r="I140" s="161"/>
      <c r="J140" s="161"/>
      <c r="K140" s="161"/>
      <c r="L140" s="161"/>
      <c r="M140" s="162"/>
    </row>
    <row r="141" spans="1:13" s="22" customFormat="1" ht="24" thickBot="1" x14ac:dyDescent="0.3">
      <c r="A141" s="160" t="s">
        <v>24</v>
      </c>
      <c r="B141" s="161"/>
      <c r="C141" s="161"/>
      <c r="D141" s="161"/>
      <c r="E141" s="161"/>
      <c r="F141" s="161"/>
      <c r="G141" s="161"/>
      <c r="H141" s="161"/>
      <c r="I141" s="161"/>
      <c r="J141" s="161"/>
      <c r="K141" s="161"/>
      <c r="L141" s="161"/>
      <c r="M141" s="162"/>
    </row>
    <row r="142" spans="1:13" s="22" customFormat="1" ht="23.25" x14ac:dyDescent="0.25">
      <c r="A142" s="163" t="s">
        <v>63</v>
      </c>
      <c r="B142" s="164"/>
      <c r="C142" s="164"/>
      <c r="D142" s="164"/>
      <c r="E142" s="164"/>
      <c r="F142" s="164"/>
      <c r="G142" s="164"/>
      <c r="H142" s="164"/>
      <c r="I142" s="164"/>
      <c r="J142" s="164"/>
      <c r="K142" s="164"/>
      <c r="L142" s="164"/>
      <c r="M142" s="165"/>
    </row>
    <row r="143" spans="1:13" s="22" customFormat="1" ht="51.75" customHeight="1" thickBot="1" x14ac:dyDescent="0.3">
      <c r="A143" s="166" t="s">
        <v>25</v>
      </c>
      <c r="B143" s="167"/>
      <c r="C143" s="167"/>
      <c r="D143" s="167"/>
      <c r="E143" s="167"/>
      <c r="F143" s="167"/>
      <c r="G143" s="167"/>
      <c r="H143" s="167"/>
      <c r="I143" s="167"/>
      <c r="J143" s="167"/>
      <c r="K143" s="167"/>
      <c r="L143" s="167"/>
      <c r="M143" s="168"/>
    </row>
    <row r="144" spans="1:13" s="22" customFormat="1" ht="4.5" customHeight="1" thickBot="1" x14ac:dyDescent="0.3">
      <c r="A144" s="32"/>
      <c r="B144" s="33"/>
      <c r="C144" s="33"/>
      <c r="D144" s="33"/>
      <c r="E144" s="44"/>
      <c r="F144" s="44"/>
      <c r="G144" s="34"/>
      <c r="H144" s="34"/>
      <c r="I144" s="34"/>
      <c r="J144" s="34"/>
      <c r="K144" s="34"/>
      <c r="L144" s="34"/>
      <c r="M144" s="35"/>
    </row>
    <row r="145" spans="1:13" ht="22.5" customHeight="1" thickBot="1" x14ac:dyDescent="0.3">
      <c r="A145" s="47"/>
      <c r="B145" s="48"/>
      <c r="C145" s="48"/>
      <c r="D145" s="139" t="s">
        <v>56</v>
      </c>
      <c r="E145" s="139"/>
      <c r="F145" s="139"/>
      <c r="G145" s="139"/>
      <c r="H145" s="139"/>
      <c r="I145" s="139"/>
      <c r="J145" s="139"/>
      <c r="K145" s="48"/>
      <c r="L145" s="48"/>
      <c r="M145" s="49"/>
    </row>
    <row r="146" spans="1:13" s="22" customFormat="1" ht="385.5" customHeight="1" thickBot="1" x14ac:dyDescent="0.3">
      <c r="A146" s="69"/>
      <c r="B146" s="70"/>
      <c r="C146" s="71"/>
      <c r="D146" s="71"/>
      <c r="E146" s="71"/>
      <c r="F146" s="71"/>
      <c r="G146" s="71"/>
      <c r="H146" s="159"/>
      <c r="I146" s="159"/>
      <c r="J146" s="159"/>
      <c r="K146" s="159"/>
      <c r="L146" s="159"/>
      <c r="M146" s="72"/>
    </row>
    <row r="147" spans="1:13" s="22" customFormat="1" ht="14.25" customHeight="1" x14ac:dyDescent="0.25">
      <c r="A147" s="66"/>
      <c r="B147" s="64"/>
      <c r="C147" s="64"/>
      <c r="D147" s="64"/>
      <c r="E147" s="65"/>
      <c r="F147" s="65"/>
      <c r="G147" s="64"/>
      <c r="H147" s="64"/>
      <c r="I147" s="64"/>
      <c r="J147" s="64"/>
      <c r="K147" s="64"/>
      <c r="L147" s="64"/>
      <c r="M147" s="64"/>
    </row>
    <row r="148" spans="1:13" s="22" customFormat="1" ht="14.25" customHeight="1" x14ac:dyDescent="0.25">
      <c r="A148" s="66"/>
      <c r="B148" s="64"/>
      <c r="C148" s="64"/>
      <c r="D148" s="64"/>
      <c r="E148" s="65"/>
      <c r="F148" s="65"/>
      <c r="G148" s="64"/>
      <c r="H148" s="64"/>
      <c r="I148" s="64"/>
      <c r="J148" s="64"/>
      <c r="K148" s="64"/>
      <c r="L148" s="64"/>
      <c r="M148" s="64"/>
    </row>
    <row r="149" spans="1:13" s="22" customFormat="1" ht="14.25" customHeight="1" x14ac:dyDescent="0.25">
      <c r="A149" s="66"/>
      <c r="B149" s="64"/>
      <c r="C149" s="64"/>
      <c r="D149" s="64"/>
      <c r="E149" s="65"/>
      <c r="F149" s="65"/>
      <c r="G149" s="64"/>
      <c r="H149" s="64"/>
      <c r="I149" s="64"/>
      <c r="J149" s="64"/>
      <c r="K149" s="64"/>
      <c r="L149" s="64"/>
      <c r="M149" s="64"/>
    </row>
    <row r="150" spans="1:13" s="22" customFormat="1" ht="14.25" customHeight="1" x14ac:dyDescent="0.25">
      <c r="A150" s="66"/>
      <c r="B150" s="64"/>
      <c r="C150" s="64"/>
      <c r="D150" s="64"/>
      <c r="E150" s="65"/>
      <c r="F150" s="65"/>
      <c r="G150" s="64"/>
      <c r="H150" s="64"/>
      <c r="I150" s="64"/>
      <c r="J150" s="64"/>
      <c r="K150" s="64"/>
      <c r="L150" s="64"/>
      <c r="M150" s="64"/>
    </row>
    <row r="151" spans="1:13" s="22" customFormat="1" ht="14.25" customHeight="1" x14ac:dyDescent="0.25">
      <c r="A151" s="66"/>
      <c r="B151" s="64"/>
      <c r="C151" s="64"/>
      <c r="D151" s="64"/>
      <c r="E151" s="65"/>
      <c r="F151" s="65"/>
      <c r="G151" s="64"/>
      <c r="H151" s="64"/>
      <c r="I151" s="64"/>
      <c r="J151" s="64"/>
      <c r="K151" s="64"/>
      <c r="L151" s="64"/>
      <c r="M151" s="64"/>
    </row>
    <row r="152" spans="1:13" s="22" customFormat="1" ht="14.25" customHeight="1" x14ac:dyDescent="0.25">
      <c r="A152" s="66"/>
      <c r="B152" s="64"/>
      <c r="C152" s="64"/>
      <c r="D152" s="64"/>
      <c r="E152" s="65"/>
      <c r="F152" s="65"/>
      <c r="G152" s="64"/>
      <c r="H152" s="64"/>
      <c r="I152" s="64"/>
      <c r="J152" s="64"/>
      <c r="K152" s="64"/>
      <c r="L152" s="64"/>
      <c r="M152" s="64"/>
    </row>
    <row r="153" spans="1:13" s="22" customFormat="1" ht="14.25" customHeight="1" x14ac:dyDescent="0.25">
      <c r="A153" s="66"/>
      <c r="B153" s="64"/>
      <c r="C153" s="64"/>
      <c r="D153" s="64"/>
      <c r="E153" s="65"/>
      <c r="F153" s="65"/>
      <c r="G153" s="64"/>
      <c r="H153" s="64"/>
      <c r="I153" s="64"/>
      <c r="J153" s="64"/>
      <c r="K153" s="64"/>
      <c r="L153" s="64"/>
      <c r="M153" s="64"/>
    </row>
    <row r="154" spans="1:13" s="22" customFormat="1" ht="14.25" customHeight="1" x14ac:dyDescent="0.25">
      <c r="A154" s="66"/>
      <c r="B154" s="64"/>
      <c r="C154" s="64"/>
      <c r="D154" s="64"/>
      <c r="E154" s="65"/>
      <c r="F154" s="65"/>
      <c r="G154" s="64"/>
      <c r="H154" s="64"/>
      <c r="I154" s="64"/>
      <c r="J154" s="64"/>
      <c r="K154" s="64"/>
      <c r="L154" s="64"/>
      <c r="M154" s="64"/>
    </row>
    <row r="155" spans="1:13" s="24" customFormat="1" ht="14.25" customHeight="1" x14ac:dyDescent="0.25">
      <c r="A155" s="66"/>
      <c r="B155" s="64"/>
      <c r="C155" s="64"/>
      <c r="D155" s="64"/>
      <c r="E155" s="65"/>
      <c r="F155" s="65"/>
      <c r="G155" s="64"/>
      <c r="H155" s="64"/>
      <c r="I155" s="64"/>
      <c r="J155" s="64"/>
      <c r="K155" s="64"/>
      <c r="L155" s="64"/>
      <c r="M155" s="64"/>
    </row>
    <row r="156" spans="1:13" s="22" customFormat="1" ht="14.25" customHeight="1" x14ac:dyDescent="0.25">
      <c r="A156" s="66"/>
      <c r="B156" s="64"/>
      <c r="C156" s="64"/>
      <c r="D156" s="64"/>
      <c r="E156" s="65"/>
      <c r="F156" s="65"/>
      <c r="G156" s="64"/>
      <c r="H156" s="64"/>
      <c r="I156" s="64"/>
      <c r="J156" s="64"/>
      <c r="K156" s="64"/>
      <c r="L156" s="64"/>
      <c r="M156" s="64"/>
    </row>
    <row r="157" spans="1:13" s="22" customFormat="1" ht="14.25" customHeight="1" x14ac:dyDescent="0.25">
      <c r="A157" s="66"/>
      <c r="B157" s="64"/>
      <c r="C157" s="64"/>
      <c r="D157" s="64"/>
      <c r="E157" s="65"/>
      <c r="F157" s="65"/>
      <c r="G157" s="64"/>
      <c r="H157" s="64"/>
      <c r="I157" s="64"/>
      <c r="J157" s="64"/>
      <c r="K157" s="64"/>
      <c r="L157" s="64"/>
      <c r="M157" s="64"/>
    </row>
    <row r="158" spans="1:13" s="22" customFormat="1" ht="14.25" customHeight="1" x14ac:dyDescent="0.25">
      <c r="A158" s="66"/>
      <c r="B158" s="64"/>
      <c r="C158" s="64"/>
      <c r="D158" s="64"/>
      <c r="E158" s="65"/>
      <c r="F158" s="65"/>
      <c r="G158" s="64"/>
      <c r="H158" s="64"/>
      <c r="I158" s="64"/>
      <c r="J158" s="64"/>
      <c r="K158" s="64"/>
      <c r="L158" s="64"/>
      <c r="M158" s="64"/>
    </row>
    <row r="159" spans="1:13" s="22" customFormat="1" ht="14.25" customHeight="1" x14ac:dyDescent="0.25">
      <c r="A159" s="66"/>
      <c r="B159" s="64"/>
      <c r="C159" s="64"/>
      <c r="D159" s="64"/>
      <c r="E159" s="65"/>
      <c r="F159" s="65"/>
      <c r="G159" s="64"/>
      <c r="H159" s="64"/>
      <c r="I159" s="64"/>
      <c r="J159" s="64"/>
      <c r="K159" s="64"/>
      <c r="L159" s="64"/>
      <c r="M159" s="64"/>
    </row>
    <row r="160" spans="1:13" s="22" customFormat="1" ht="14.25" customHeight="1" x14ac:dyDescent="0.25">
      <c r="A160" s="66"/>
      <c r="B160" s="64"/>
      <c r="C160" s="64"/>
      <c r="D160" s="64"/>
      <c r="E160" s="65"/>
      <c r="F160" s="65"/>
      <c r="G160" s="64"/>
      <c r="H160" s="64"/>
      <c r="I160" s="64"/>
      <c r="J160" s="64"/>
      <c r="K160" s="64"/>
      <c r="L160" s="64"/>
      <c r="M160" s="64"/>
    </row>
    <row r="161" spans="1:13" s="22" customFormat="1" ht="14.25" customHeight="1" x14ac:dyDescent="0.25">
      <c r="A161" s="66"/>
      <c r="B161" s="64"/>
      <c r="C161" s="64"/>
      <c r="D161" s="64"/>
      <c r="E161" s="65"/>
      <c r="F161" s="65"/>
      <c r="G161" s="64"/>
      <c r="H161" s="64"/>
      <c r="I161" s="64"/>
      <c r="J161" s="64"/>
      <c r="K161" s="64"/>
      <c r="L161" s="64"/>
      <c r="M161" s="64"/>
    </row>
    <row r="162" spans="1:13" s="22" customFormat="1" ht="14.25" customHeight="1" x14ac:dyDescent="0.25">
      <c r="A162" s="66"/>
      <c r="B162" s="64"/>
      <c r="C162" s="64"/>
      <c r="D162" s="64"/>
      <c r="E162" s="65"/>
      <c r="F162" s="65"/>
      <c r="G162" s="64"/>
      <c r="H162" s="64"/>
      <c r="I162" s="64"/>
      <c r="J162" s="64"/>
      <c r="K162" s="64"/>
      <c r="L162" s="64"/>
      <c r="M162" s="64"/>
    </row>
    <row r="163" spans="1:13" s="22" customFormat="1" ht="14.25" customHeight="1" x14ac:dyDescent="0.25">
      <c r="A163" s="66"/>
      <c r="B163" s="64"/>
      <c r="C163" s="64"/>
      <c r="D163" s="64"/>
      <c r="E163" s="65"/>
      <c r="F163" s="65"/>
      <c r="G163" s="64"/>
      <c r="H163" s="64"/>
      <c r="I163" s="64"/>
      <c r="J163" s="64"/>
      <c r="K163" s="64"/>
      <c r="L163" s="64"/>
      <c r="M163" s="64"/>
    </row>
    <row r="164" spans="1:13" s="22" customFormat="1" ht="14.25" customHeight="1" x14ac:dyDescent="0.25">
      <c r="A164" s="66"/>
      <c r="B164" s="64"/>
      <c r="C164" s="64"/>
      <c r="D164" s="64"/>
      <c r="E164" s="65"/>
      <c r="F164" s="65"/>
      <c r="G164" s="64"/>
      <c r="H164" s="64"/>
      <c r="I164" s="64"/>
      <c r="J164" s="64"/>
      <c r="K164" s="64"/>
      <c r="L164" s="64"/>
      <c r="M164" s="64"/>
    </row>
    <row r="165" spans="1:13" s="22" customFormat="1" ht="14.25" customHeight="1" x14ac:dyDescent="0.25">
      <c r="A165" s="66"/>
      <c r="B165" s="64"/>
      <c r="C165" s="64"/>
      <c r="D165" s="64"/>
      <c r="E165" s="65"/>
      <c r="F165" s="65"/>
      <c r="G165" s="64"/>
      <c r="H165" s="64"/>
      <c r="I165" s="64"/>
      <c r="J165" s="64"/>
      <c r="K165" s="64"/>
      <c r="L165" s="64"/>
      <c r="M165" s="64"/>
    </row>
    <row r="166" spans="1:13" s="22" customFormat="1" ht="14.25" customHeight="1" x14ac:dyDescent="0.25">
      <c r="A166" s="66"/>
      <c r="B166" s="64"/>
      <c r="C166" s="64"/>
      <c r="D166" s="64"/>
      <c r="E166" s="65"/>
      <c r="F166" s="65"/>
      <c r="G166" s="64"/>
      <c r="H166" s="64"/>
      <c r="I166" s="64"/>
      <c r="J166" s="64"/>
      <c r="K166" s="64"/>
      <c r="L166" s="64"/>
      <c r="M166" s="64"/>
    </row>
    <row r="167" spans="1:13" s="22" customFormat="1" ht="14.25" customHeight="1" x14ac:dyDescent="0.25">
      <c r="A167" s="66"/>
      <c r="B167" s="64"/>
      <c r="C167" s="64"/>
      <c r="D167" s="64"/>
      <c r="E167" s="65"/>
      <c r="F167" s="65"/>
      <c r="G167" s="64"/>
      <c r="H167" s="64"/>
      <c r="I167" s="64"/>
      <c r="J167" s="64"/>
      <c r="K167" s="64"/>
      <c r="L167" s="64"/>
      <c r="M167" s="64"/>
    </row>
    <row r="168" spans="1:13" s="22" customFormat="1" ht="14.25" customHeight="1" x14ac:dyDescent="0.25">
      <c r="A168" s="66"/>
      <c r="B168" s="64"/>
      <c r="C168" s="64"/>
      <c r="D168" s="64"/>
      <c r="E168" s="65"/>
      <c r="F168" s="65"/>
      <c r="G168" s="64"/>
      <c r="H168" s="64"/>
      <c r="I168" s="64"/>
      <c r="J168" s="64"/>
      <c r="K168" s="64"/>
      <c r="L168" s="64"/>
      <c r="M168" s="64"/>
    </row>
    <row r="169" spans="1:13" s="22" customFormat="1" ht="14.25" customHeight="1" x14ac:dyDescent="0.25">
      <c r="A169" s="66"/>
      <c r="B169" s="64"/>
      <c r="C169" s="64"/>
      <c r="D169" s="64"/>
      <c r="E169" s="65"/>
      <c r="F169" s="65"/>
      <c r="G169" s="64"/>
      <c r="H169" s="64"/>
      <c r="I169" s="64"/>
      <c r="J169" s="64"/>
      <c r="K169" s="64"/>
      <c r="L169" s="64"/>
      <c r="M169" s="64"/>
    </row>
    <row r="170" spans="1:13" s="22" customFormat="1" ht="14.25" customHeight="1" x14ac:dyDescent="0.25">
      <c r="A170" s="66"/>
      <c r="B170" s="64"/>
      <c r="C170" s="64"/>
      <c r="D170" s="64"/>
      <c r="E170" s="65"/>
      <c r="F170" s="65"/>
      <c r="G170" s="64"/>
      <c r="H170" s="64"/>
      <c r="I170" s="64"/>
      <c r="J170" s="64"/>
      <c r="K170" s="64"/>
      <c r="L170" s="64"/>
      <c r="M170" s="64"/>
    </row>
    <row r="171" spans="1:13" s="22" customFormat="1" ht="14.25" customHeight="1" x14ac:dyDescent="0.25">
      <c r="A171" s="66"/>
      <c r="B171" s="64"/>
      <c r="C171" s="64"/>
      <c r="D171" s="64"/>
      <c r="E171" s="65"/>
      <c r="F171" s="65"/>
      <c r="G171" s="64"/>
      <c r="H171" s="64"/>
      <c r="I171" s="64"/>
      <c r="J171" s="64"/>
      <c r="K171" s="64"/>
      <c r="L171" s="64"/>
      <c r="M171" s="64"/>
    </row>
    <row r="172" spans="1:13" s="22" customFormat="1" ht="14.25" customHeight="1" x14ac:dyDescent="0.25">
      <c r="A172" s="66"/>
      <c r="B172" s="64"/>
      <c r="C172" s="64"/>
      <c r="D172" s="64"/>
      <c r="E172" s="65"/>
      <c r="F172" s="65"/>
      <c r="G172" s="64"/>
      <c r="H172" s="64"/>
      <c r="I172" s="64"/>
      <c r="J172" s="64"/>
      <c r="K172" s="64"/>
      <c r="L172" s="64"/>
      <c r="M172" s="64"/>
    </row>
    <row r="173" spans="1:13" x14ac:dyDescent="0.25">
      <c r="A173" s="67"/>
      <c r="B173" s="67"/>
      <c r="C173" s="67"/>
      <c r="D173" s="67"/>
      <c r="E173" s="68"/>
      <c r="F173" s="68"/>
      <c r="G173" s="67"/>
      <c r="H173" s="67"/>
      <c r="I173" s="67"/>
      <c r="J173" s="67"/>
      <c r="K173" s="67"/>
      <c r="L173" s="67"/>
      <c r="M173" s="67"/>
    </row>
    <row r="174" spans="1:13" x14ac:dyDescent="0.25">
      <c r="A174" s="67"/>
      <c r="B174" s="67"/>
      <c r="C174" s="67"/>
      <c r="D174" s="67"/>
      <c r="E174" s="68"/>
      <c r="F174" s="68"/>
      <c r="G174" s="67"/>
      <c r="H174" s="67"/>
      <c r="I174" s="67"/>
      <c r="J174" s="67"/>
      <c r="K174" s="67"/>
      <c r="L174" s="67"/>
      <c r="M174" s="67"/>
    </row>
  </sheetData>
  <mergeCells count="62">
    <mergeCell ref="D132:G132"/>
    <mergeCell ref="D133:G133"/>
    <mergeCell ref="H146:L146"/>
    <mergeCell ref="D145:J145"/>
    <mergeCell ref="A140:M140"/>
    <mergeCell ref="A141:M141"/>
    <mergeCell ref="A142:M142"/>
    <mergeCell ref="A143:M143"/>
    <mergeCell ref="A135:M136"/>
    <mergeCell ref="A137:M138"/>
    <mergeCell ref="A139:M139"/>
    <mergeCell ref="E4:F4"/>
    <mergeCell ref="D100:D101"/>
    <mergeCell ref="B100:C100"/>
    <mergeCell ref="A100:A101"/>
    <mergeCell ref="D27:D28"/>
    <mergeCell ref="D99:K99"/>
    <mergeCell ref="E100:F100"/>
    <mergeCell ref="E27:F27"/>
    <mergeCell ref="H27:H28"/>
    <mergeCell ref="D70:K70"/>
    <mergeCell ref="H100:H101"/>
    <mergeCell ref="G100:G101"/>
    <mergeCell ref="I27:J27"/>
    <mergeCell ref="K27:L27"/>
    <mergeCell ref="D14:J14"/>
    <mergeCell ref="C10:D10"/>
    <mergeCell ref="C9:D9"/>
    <mergeCell ref="A27:A28"/>
    <mergeCell ref="G27:G28"/>
    <mergeCell ref="E1:H1"/>
    <mergeCell ref="E3:F3"/>
    <mergeCell ref="M27:M28"/>
    <mergeCell ref="J1:M1"/>
    <mergeCell ref="F10:G10"/>
    <mergeCell ref="F11:G11"/>
    <mergeCell ref="F12:G12"/>
    <mergeCell ref="A22:M22"/>
    <mergeCell ref="A23:M23"/>
    <mergeCell ref="A24:M24"/>
    <mergeCell ref="A3:B3"/>
    <mergeCell ref="A4:B4"/>
    <mergeCell ref="A5:B5"/>
    <mergeCell ref="D26:K26"/>
    <mergeCell ref="F6:G6"/>
    <mergeCell ref="F7:G7"/>
    <mergeCell ref="C11:D11"/>
    <mergeCell ref="F9:G9"/>
    <mergeCell ref="M100:M101"/>
    <mergeCell ref="A2:B2"/>
    <mergeCell ref="I2:M2"/>
    <mergeCell ref="B27:C27"/>
    <mergeCell ref="K100:L100"/>
    <mergeCell ref="I100:J100"/>
    <mergeCell ref="F8:G8"/>
    <mergeCell ref="I6:L6"/>
    <mergeCell ref="I7:L7"/>
    <mergeCell ref="I8:L8"/>
    <mergeCell ref="C6:D6"/>
    <mergeCell ref="C7:D7"/>
    <mergeCell ref="C8:D8"/>
    <mergeCell ref="C12:D12"/>
  </mergeCells>
  <conditionalFormatting sqref="B29:M98">
    <cfRule type="expression" dxfId="4" priority="11">
      <formula>AND($K29&gt;0,$K29=$L29,$G29="TOQUE PITO")</formula>
    </cfRule>
    <cfRule type="expression" dxfId="3" priority="12">
      <formula>SEARCH("Cruce",$D29)</formula>
    </cfRule>
    <cfRule type="expression" dxfId="2" priority="13">
      <formula>AND($K29&gt;0,$K29=$L29)</formula>
    </cfRule>
  </conditionalFormatting>
  <conditionalFormatting sqref="H29:H98">
    <cfRule type="expression" dxfId="1" priority="10">
      <formula>AND($K29&gt;0,$K29=$L29,$G29="TOQUE PITO")</formula>
    </cfRule>
  </conditionalFormatting>
  <conditionalFormatting sqref="H29:H133">
    <cfRule type="containsText" dxfId="0" priority="14" operator="containsText" text="VENTANA DE TRABAJO BAJO COORDINACIÓN CON CONTROLADOR DE TRÁFICO">
      <formula>NOT(ISERROR(SEARCH("VENTANA DE TRABAJO BAJO COORDINACIÓN CON CONTROLADOR DE TRÁFICO",H29)))</formula>
    </cfRule>
  </conditionalFormatting>
  <hyperlinks>
    <hyperlink ref="H8" r:id="rId1" xr:uid="{E03296C1-5ABB-4B52-A5F8-F4E53ADD14E5}"/>
    <hyperlink ref="I8" r:id="rId2" xr:uid="{E2F1DDA8-BCA5-4088-AF06-0985AACBB509}"/>
    <hyperlink ref="F11" r:id="rId3" display="ct.con@efesur.cl" xr:uid="{A1C4B2D7-92C7-4712-A28C-1F149385B678}"/>
    <hyperlink ref="C12" r:id="rId4" xr:uid="{2025E338-123C-436A-BC82-CCA9BFC994A2}"/>
    <hyperlink ref="F12" r:id="rId5" xr:uid="{FFEF4604-6A4E-4754-872B-84F306161419}"/>
  </hyperlinks>
  <pageMargins left="0.31496062992125984" right="0.31496062992125984" top="0.35433070866141736" bottom="0.35433070866141736" header="0.31496062992125984" footer="0.31496062992125984"/>
  <pageSetup scale="61" fitToHeight="0" orientation="landscape" r:id="rId6"/>
  <headerFooter>
    <oddFooter>&amp;R&amp;P</oddFooter>
  </headerFooter>
  <drawing r:id="rId7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45291bc-c7a1-4ef0-8ab4-c48bff5dc735" xsi:nil="true"/>
    <lcf76f155ced4ddcb4097134ff3c332f xmlns="313609a6-81c6-46ac-ab9d-5ac73f4e1ccd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5382F9A49816E4BB01C68A445F45E9E" ma:contentTypeVersion="12" ma:contentTypeDescription="Crear nuevo documento." ma:contentTypeScope="" ma:versionID="4d578b9c7c3b00852d9c044d8d9956a4">
  <xsd:schema xmlns:xsd="http://www.w3.org/2001/XMLSchema" xmlns:xs="http://www.w3.org/2001/XMLSchema" xmlns:p="http://schemas.microsoft.com/office/2006/metadata/properties" xmlns:ns2="313609a6-81c6-46ac-ab9d-5ac73f4e1ccd" xmlns:ns3="f45291bc-c7a1-4ef0-8ab4-c48bff5dc735" targetNamespace="http://schemas.microsoft.com/office/2006/metadata/properties" ma:root="true" ma:fieldsID="92db37c773123e2ab5149400cca1b3b1" ns2:_="" ns3:_="">
    <xsd:import namespace="313609a6-81c6-46ac-ab9d-5ac73f4e1ccd"/>
    <xsd:import namespace="f45291bc-c7a1-4ef0-8ab4-c48bff5dc73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3609a6-81c6-46ac-ab9d-5ac73f4e1cc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50a62023-e717-42a3-add4-768fa6f1878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5291bc-c7a1-4ef0-8ab4-c48bff5dc73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e428f025-56c5-4e3e-ab4e-3896790a3fc2}" ma:internalName="TaxCatchAll" ma:showField="CatchAllData" ma:web="f45291bc-c7a1-4ef0-8ab4-c48bff5dc73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52591B6-8C80-41FE-AFE6-A9A4EC0BE937}">
  <ds:schemaRefs>
    <ds:schemaRef ds:uri="http://schemas.microsoft.com/office/2006/metadata/properties"/>
    <ds:schemaRef ds:uri="http://purl.org/dc/dcmitype/"/>
    <ds:schemaRef ds:uri="http://schemas.microsoft.com/office/2006/documentManagement/types"/>
    <ds:schemaRef ds:uri="http://www.w3.org/XML/1998/namespace"/>
    <ds:schemaRef ds:uri="http://purl.org/dc/elements/1.1/"/>
    <ds:schemaRef ds:uri="313609a6-81c6-46ac-ab9d-5ac73f4e1ccd"/>
    <ds:schemaRef ds:uri="http://schemas.microsoft.com/office/infopath/2007/PartnerControls"/>
    <ds:schemaRef ds:uri="http://purl.org/dc/terms/"/>
    <ds:schemaRef ds:uri="http://schemas.openxmlformats.org/package/2006/metadata/core-properties"/>
    <ds:schemaRef ds:uri="f45291bc-c7a1-4ef0-8ab4-c48bff5dc735"/>
  </ds:schemaRefs>
</ds:datastoreItem>
</file>

<file path=customXml/itemProps2.xml><?xml version="1.0" encoding="utf-8"?>
<ds:datastoreItem xmlns:ds="http://schemas.openxmlformats.org/officeDocument/2006/customXml" ds:itemID="{6D8A5A4F-7F90-4006-B887-CFAEA20C553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13609a6-81c6-46ac-ab9d-5ac73f4e1ccd"/>
    <ds:schemaRef ds:uri="f45291bc-c7a1-4ef0-8ab4-c48bff5dc73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166D88B-7F68-43F4-A96E-1F45E0E93D9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2026-10-26T20:34:08Z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0x010100E5382F9A49816E4BB01C68A445F45E9E</vt:lpwstr>
  </property>
  <property fmtid="{D5CDD505-2E9C-101B-9397-08002B2CF9AE}" pid="3" name="MediaServiceImageTags">
    <vt:lpwstr/>
  </property>
</Properties>
</file>