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defaultThemeVersion="124226"/>
  <xr:revisionPtr revIDLastSave="0" documentId="8_{931EE6EC-9DBA-440A-9CA0-D5DA975A83EE}" xr6:coauthVersionLast="47" xr6:coauthVersionMax="47" xr10:uidLastSave="{00000000-0000-0000-0000-000000000000}"/>
  <bookViews>
    <workbookView xWindow="-120" yWindow="-120" windowWidth="29040" windowHeight="15840" xr2:uid="{00000000-000D-0000-FFFF-FFFF00000000}"/>
  </bookViews>
  <sheets>
    <sheet name="Hoja1" sheetId="1" r:id="rId1"/>
  </sheets>
  <definedNames>
    <definedName name="_xlnm.Print_Area" localSheetId="0">Hoja1!$A$1:$M$77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A24" i="1" a="1"/>
  <c r="A24" i="1" l="1"/>
  <c r="A25" i="1" a="1"/>
  <c r="A25" i="1" l="1"/>
  <c r="A26" i="1" a="1"/>
  <c r="A26" i="1" l="1"/>
  <c r="A27" i="1" a="1"/>
  <c r="A27" i="1" l="1"/>
  <c r="A28" i="1" a="1"/>
  <c r="A28" i="1" l="1"/>
  <c r="A29" i="1" a="1"/>
  <c r="A29" i="1" l="1"/>
  <c r="A30" i="1" a="1"/>
  <c r="A30" i="1" l="1"/>
  <c r="A31" i="1" a="1"/>
  <c r="A31" i="1" l="1"/>
  <c r="A32" i="1" a="1"/>
  <c r="A32" i="1" l="1"/>
  <c r="A33" i="1" a="1"/>
  <c r="A33" i="1" l="1"/>
  <c r="A34" i="1" a="1"/>
  <c r="A34" i="1" l="1"/>
  <c r="A35" i="1" a="1"/>
  <c r="A35" i="1" l="1"/>
  <c r="A36" i="1" a="1"/>
  <c r="A36" i="1" l="1"/>
  <c r="A37" i="1" a="1"/>
  <c r="A37" i="1" l="1"/>
  <c r="A38" i="1" a="1"/>
  <c r="A38" i="1" l="1"/>
  <c r="A39" i="1" a="1"/>
  <c r="A39" i="1" l="1"/>
  <c r="A40" i="1" a="1"/>
  <c r="A40" i="1" l="1"/>
  <c r="A41" i="1" a="1"/>
  <c r="A41" i="1" l="1"/>
  <c r="A42" i="1" a="1"/>
  <c r="A42" i="1" l="1"/>
  <c r="A43" i="1" a="1"/>
  <c r="A43" i="1" l="1"/>
  <c r="A44" i="1" a="1"/>
  <c r="A44" i="1" l="1"/>
  <c r="A48" i="1" a="1"/>
  <c r="A48" i="1" l="1"/>
  <c r="A49" i="1" a="1"/>
  <c r="A49" i="1" l="1"/>
  <c r="A50" i="1" a="1"/>
  <c r="A50" i="1" l="1"/>
  <c r="A51" i="1" a="1"/>
  <c r="A51" i="1" l="1"/>
  <c r="A52" i="1" a="1"/>
  <c r="A52" i="1" l="1"/>
  <c r="A53" i="1" a="1"/>
  <c r="A53" i="1" l="1"/>
  <c r="A54" i="1" a="1"/>
  <c r="A54" i="1" l="1"/>
  <c r="A55" i="1" a="1"/>
  <c r="A55" i="1" l="1"/>
  <c r="A56" i="1" a="1"/>
  <c r="A56" i="1" l="1"/>
  <c r="A57" i="1" a="1"/>
  <c r="A57" i="1" l="1"/>
  <c r="A58" i="1" a="1"/>
  <c r="A58" i="1" l="1"/>
  <c r="A59" i="1" a="1"/>
  <c r="A59" i="1" l="1"/>
  <c r="A60" i="1" a="1"/>
  <c r="A60" i="1" l="1"/>
  <c r="A61" i="1" a="1"/>
  <c r="A61" i="1" l="1"/>
  <c r="A62" i="1" a="1"/>
  <c r="A62" i="1" l="1"/>
  <c r="A63" i="1" a="1"/>
  <c r="A63" i="1" l="1"/>
  <c r="A64" i="1" a="1"/>
  <c r="A6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<sst xmlns="http://schemas.openxmlformats.org/spreadsheetml/2006/main" count="378" uniqueCount="182">
  <si>
    <t>BLOCK</t>
  </si>
  <si>
    <t>DESDE</t>
  </si>
  <si>
    <t>HASTA</t>
  </si>
  <si>
    <t>HORA</t>
  </si>
  <si>
    <t xml:space="preserve">FECHA </t>
  </si>
  <si>
    <t>N°</t>
  </si>
  <si>
    <t>KM</t>
  </si>
  <si>
    <t>DESCRIPCIÓN TRABAJOS</t>
  </si>
  <si>
    <t>INICIO</t>
  </si>
  <si>
    <t>NOTIFICACION DE FAENAS EN EL INICIO DEL RECORRIDO</t>
  </si>
  <si>
    <t>EMPRESA</t>
  </si>
  <si>
    <t>VIA</t>
  </si>
  <si>
    <t>TIPO CORTADA</t>
  </si>
  <si>
    <t>MESA CTC 1</t>
  </si>
  <si>
    <t>HUALQUI - CONCEPCIÓN - TALCAHUANO</t>
  </si>
  <si>
    <t xml:space="preserve">COORDINADO POR </t>
  </si>
  <si>
    <t>DESCRIPCIÓN TRABAJOS / EPF / CORTADOR ELECTRICO</t>
  </si>
  <si>
    <t>TÉRMINO</t>
  </si>
  <si>
    <t>VELOCIDAD Y/O RESTRICCIÓN</t>
  </si>
  <si>
    <t>RÉGIMEN A UTILIZAR</t>
  </si>
  <si>
    <t>Autorizado por I.T.</t>
  </si>
  <si>
    <t>Folio</t>
  </si>
  <si>
    <t>Emitido</t>
  </si>
  <si>
    <t>OIS BOLETÍN DE VIA C (SECTOR BUENURAQUI-HUALQUI)</t>
  </si>
  <si>
    <t>PROGRAMACIÓN DE CORTADAS</t>
  </si>
  <si>
    <t>MESA SSE REMOTO</t>
  </si>
  <si>
    <t>SD-15 / BUENURAQUI - QUILACOYA</t>
  </si>
  <si>
    <t>controlador.sser@efesur.cl</t>
  </si>
  <si>
    <t>MESA CFLEX 4</t>
  </si>
  <si>
    <t>INSPECTOR DE TURNO CONCEPCIÓN</t>
  </si>
  <si>
    <t>DESPACHO ELÉCTRICO CONCEPCIÓN</t>
  </si>
  <si>
    <t>SR-TH / CC-CW</t>
  </si>
  <si>
    <t>ct.con@efesur.cl</t>
  </si>
  <si>
    <t>despacho.electrico@efesur.cl</t>
  </si>
  <si>
    <t>41 216 6762</t>
  </si>
  <si>
    <t>41 216 6760 / 9 9848 1086</t>
  </si>
  <si>
    <t>MESA CFLEX 3 / AUV</t>
  </si>
  <si>
    <t>41 216 6764</t>
  </si>
  <si>
    <t>MESA AUV 2 / CFLEX 2</t>
  </si>
  <si>
    <t>41 216 6765</t>
  </si>
  <si>
    <t>SD 18 / 19 / 21 / 22 / 32 / 37 / 38 / 40 / RQ-NA</t>
  </si>
  <si>
    <t>LAJA - TEMUCO / SD-16</t>
  </si>
  <si>
    <t>41 216 6767 / 41 216 6768 / 9 4271 8148</t>
  </si>
  <si>
    <t>41 216 6766 / 41 216 6770</t>
  </si>
  <si>
    <t>41 216 6763</t>
  </si>
  <si>
    <t>operador.concepcion@efesur.cl</t>
  </si>
  <si>
    <r>
      <rPr>
        <b/>
        <sz val="18"/>
        <color rgb="FF000000"/>
        <rFont val="Calibri"/>
        <family val="2"/>
      </rPr>
      <t xml:space="preserve">FRECUENCIA RADIAL DE COMUNICACIÓN BU - HQ: </t>
    </r>
    <r>
      <rPr>
        <b/>
        <sz val="24"/>
        <color rgb="FF000000"/>
        <rFont val="Calibri"/>
        <family val="2"/>
      </rPr>
      <t>"2 LJ-HQ"</t>
    </r>
  </si>
  <si>
    <t>VELOCIDADES MÁXIMAS EN EL SECTOR</t>
  </si>
  <si>
    <r>
      <t xml:space="preserve">1. </t>
    </r>
    <r>
      <rPr>
        <b/>
        <u/>
        <sz val="12"/>
        <color rgb="FF000000"/>
        <rFont val="Calibri"/>
        <family val="2"/>
      </rPr>
      <t>TRENES DE PASAJEROS</t>
    </r>
    <r>
      <rPr>
        <b/>
        <sz val="12"/>
        <color indexed="8"/>
        <rFont val="Calibri"/>
        <family val="2"/>
      </rPr>
      <t>:</t>
    </r>
  </si>
  <si>
    <r>
      <t xml:space="preserve">2. </t>
    </r>
    <r>
      <rPr>
        <b/>
        <u/>
        <sz val="12"/>
        <color rgb="FF000000"/>
        <rFont val="Calibri"/>
        <family val="2"/>
      </rPr>
      <t>TRENES DE CARGA</t>
    </r>
    <r>
      <rPr>
        <b/>
        <sz val="12"/>
        <color indexed="8"/>
        <rFont val="Calibri"/>
        <family val="2"/>
      </rPr>
      <t xml:space="preserve">: </t>
    </r>
    <r>
      <rPr>
        <b/>
        <sz val="16"/>
        <color rgb="FF000000"/>
        <rFont val="Calibri"/>
        <family val="2"/>
      </rPr>
      <t>40 km/h</t>
    </r>
    <r>
      <rPr>
        <b/>
        <sz val="12"/>
        <color indexed="8"/>
        <rFont val="Calibri"/>
        <family val="2"/>
      </rPr>
      <t xml:space="preserve"> EN TODO EL SECTOR BUENURAQUI-HUALQUI.</t>
    </r>
  </si>
  <si>
    <t>VELOCIDADES DE PASO POR CRUCES</t>
  </si>
  <si>
    <r>
      <rPr>
        <b/>
        <u/>
        <sz val="16"/>
        <rFont val="Calibri"/>
        <family val="2"/>
      </rPr>
      <t>NOTA A PERSONAL DE TRENES DE CARGA Y PASAJEROS</t>
    </r>
    <r>
      <rPr>
        <b/>
        <sz val="16"/>
        <rFont val="Calibri"/>
        <family val="2"/>
      </rPr>
      <t xml:space="preserve">: CUANDO LOS SISTEMAS DE PROTECCIÓN AUTOMATIZADOS DE PASOS A NIVEL, YA SEA EN CRUCES ENCLAVADOS, PLENA VÍA Y/O AFECTADOS, PRESENTEN ALGÚN TIPO DE FALLA Y/O AVERÍA QUE IMPOSIBILITE CUMPLIR LAS EXIGENCIAS MÍNIMAS DE SEGURIDAD, LA VELOCIDAD DE CIRCULACIÓN NO DEBE SER SUPERIOR A </t>
    </r>
    <r>
      <rPr>
        <b/>
        <sz val="18"/>
        <color rgb="FFC00000"/>
        <rFont val="Calibri"/>
        <family val="2"/>
      </rPr>
      <t>15 km/h</t>
    </r>
    <r>
      <rPr>
        <b/>
        <sz val="16"/>
        <rFont val="Calibri"/>
        <family val="2"/>
      </rPr>
      <t xml:space="preserve"> PARA TODO TIPO DE TREN Y EQUIPOS MENORES.</t>
    </r>
  </si>
  <si>
    <r>
      <rPr>
        <b/>
        <u/>
        <sz val="16"/>
        <color theme="0"/>
        <rFont val="Calibri"/>
        <family val="2"/>
      </rPr>
      <t>SAN ROSENDO-QUILACOYA:</t>
    </r>
    <r>
      <rPr>
        <b/>
        <sz val="16"/>
        <color theme="0"/>
        <rFont val="Calibri"/>
        <family val="2"/>
      </rPr>
      <t xml:space="preserve"> EQUIPOS SFE (EMU) NO PUEDEN INGRESAR A LÍNEAS LOCALES, NI AUN EN CASO DE EMERGENCIA, SALVO AUTORIZACIÓN DE JEFE DE TRÁFICO.</t>
    </r>
  </si>
  <si>
    <t>BUENURAQUI</t>
  </si>
  <si>
    <t>GOMERO</t>
  </si>
  <si>
    <t>TODAS</t>
  </si>
  <si>
    <t>9 P. 15</t>
  </si>
  <si>
    <t>12 P. 3</t>
  </si>
  <si>
    <t>PASAJEROS 30 km/h,          CARGA 20 km/h</t>
  </si>
  <si>
    <t>CONDICIÓN DE LA VÍA, TROCHA, DURMIENTES EN MAL ESTADO, DESGASTE DE RODÓN.</t>
  </si>
  <si>
    <t/>
  </si>
  <si>
    <t>EFE</t>
  </si>
  <si>
    <t>PRINCIPAL</t>
  </si>
  <si>
    <t>11 P. 1</t>
  </si>
  <si>
    <t>11 P. 10</t>
  </si>
  <si>
    <t>MARCHA DE EMERGENCIA</t>
  </si>
  <si>
    <t>POR RIESGO DE CAÍDA DE ROCAS, MALLAS DE PROTECCIÓN ROTAS</t>
  </si>
  <si>
    <t>EFE (ROBERTO DEMETRIO)</t>
  </si>
  <si>
    <t>13 P. 4</t>
  </si>
  <si>
    <t>15 P. 16</t>
  </si>
  <si>
    <t>13 P. 10</t>
  </si>
  <si>
    <t>15 P. 1</t>
  </si>
  <si>
    <t>30 km/h Y TOQUE PITO</t>
  </si>
  <si>
    <t>PREPARACIÓN DE CAMBIO DE RIEL, SOLDADURA ALUMINOTERMICA, COLOCACIÓN DE DURMIENTE COMÚN Y REVISIÓN DE TROCHA / ADAN CONTRERAS (P-5.1) / 9 90648707</t>
  </si>
  <si>
    <t>CTA (IGNACIO RETAMAL)</t>
  </si>
  <si>
    <t>DESVÍO 2 Y MARDOÑAL</t>
  </si>
  <si>
    <t>14 P. 16</t>
  </si>
  <si>
    <t>FUERA DE SERVICIO</t>
  </si>
  <si>
    <t xml:space="preserve">PATIO COLGANTE </t>
  </si>
  <si>
    <t>EFE (ROBERTO EGLI)</t>
  </si>
  <si>
    <t>LOCAL</t>
  </si>
  <si>
    <t>14 P. 23</t>
  </si>
  <si>
    <t>16 P. 10</t>
  </si>
  <si>
    <t>BAJADA DE PANTÓGRAFO</t>
  </si>
  <si>
    <t>DEC#272 NOTIFIQUE A MAQUINISTA DE TRENES ELÉCTRICOS DEBE BAJAR PANTÓGRAFO AL INGRESO Y SALIDA DE VÍA LOCAL EN PE GOMERO</t>
  </si>
  <si>
    <t>DEC</t>
  </si>
  <si>
    <t>DESVÍO 1</t>
  </si>
  <si>
    <t>15 P. 12</t>
  </si>
  <si>
    <t>15 P. 19</t>
  </si>
  <si>
    <t>DESVÍO 1 DE GOMERO OPERATIVO ENTRE POSTE 15/12 Y 15/19 PARA DEJAR TRENES Y MÓVILES DE MANTENIMIENTO "TREN RIELERO"</t>
  </si>
  <si>
    <t>TALCAMÁVIDA</t>
  </si>
  <si>
    <t>17 P. 4</t>
  </si>
  <si>
    <t>21 P. 29</t>
  </si>
  <si>
    <t>30 km/h</t>
  </si>
  <si>
    <t>PREVENCIÓN SOLO PARA TRENES ELÉCTRICOS POR CATENARIA EN CONSTRUCCIÓN</t>
  </si>
  <si>
    <t>EFE (FERNANDO ROJAS)</t>
  </si>
  <si>
    <t>18 P. 14</t>
  </si>
  <si>
    <t>18 P. 28</t>
  </si>
  <si>
    <t>AMBAS VÍAS</t>
  </si>
  <si>
    <t>19 P. 1</t>
  </si>
  <si>
    <t>21 P. 1</t>
  </si>
  <si>
    <t>REVISIÓN DE LA CATENARIA A PIE                                                                                      MANTENIMIENTO DE ROCE PREVENTIVO / MATIAS VERGARA (P-5.1) / 9 21605784</t>
  </si>
  <si>
    <t>CTA SPA (RAMON QUERALES LEAL)</t>
  </si>
  <si>
    <t>22 P. 20</t>
  </si>
  <si>
    <t>22 P. 7</t>
  </si>
  <si>
    <t>23 P. 11</t>
  </si>
  <si>
    <t>DEC#1207  DEL DÍA 08 DE MAYO 2023 NOTIFIQUE A MAQUINISTAS MAQUINAS ELÉCTRICAS DEBEN BAJAR PANTÓGRAFO COMO ENTRADA Y SALIDA VÍA LOCAL EN PATIO ELÉCTRICO TALCAMAVIDA KM 23 A 23/7</t>
  </si>
  <si>
    <t>23 P. 9</t>
  </si>
  <si>
    <t>23 P. 26</t>
  </si>
  <si>
    <t>PASAJEROS 20 km/h,          CARGA 10 km/h</t>
  </si>
  <si>
    <t>CONDICIÓN DE LA VÍA, DURMIENTES EN MAL ESTADO</t>
  </si>
  <si>
    <t>23 P. 18</t>
  </si>
  <si>
    <t>23 P. 31</t>
  </si>
  <si>
    <t>PASAJEROS 30 km/h CARGA 20 km/h</t>
  </si>
  <si>
    <t>CONDICIÓN DE VÍA EN SECTOR SOCAVÓN.</t>
  </si>
  <si>
    <t>UNIHUE</t>
  </si>
  <si>
    <t>28 P. 12</t>
  </si>
  <si>
    <t>30 P. 6</t>
  </si>
  <si>
    <t>DEC#11 NOTIFIQUE A MAQUINISTA DE TRENES ELÉCTRICOS DEBE BAJAR PANTÓGRAFO AL INGRESO Y SALIDA DE VÍA LOCAL EN PATIO ELÉCTRICO UNIHUE</t>
  </si>
  <si>
    <t>QUILACOYA</t>
  </si>
  <si>
    <t>30 P. 1</t>
  </si>
  <si>
    <t>34 P. 1</t>
  </si>
  <si>
    <t>36 P. 5</t>
  </si>
  <si>
    <t>37 P. 2</t>
  </si>
  <si>
    <t>SIN TRÁFICO ELÉCTRICO</t>
  </si>
  <si>
    <t>INDEFINIDAS</t>
  </si>
  <si>
    <t>DESVÍO 2</t>
  </si>
  <si>
    <t>36 P. 11</t>
  </si>
  <si>
    <t>37 P. 1</t>
  </si>
  <si>
    <t>DURMIENTES EN MAL ESTADO</t>
  </si>
  <si>
    <t>EFE SUR</t>
  </si>
  <si>
    <t>HUALQUI</t>
  </si>
  <si>
    <t>39 P. 9</t>
  </si>
  <si>
    <t>39 P. 20</t>
  </si>
  <si>
    <t>CONDICIÓN DE LA VÍA, TROCHA, Y DURMIENTES EN MAL ESTADO.</t>
  </si>
  <si>
    <t>40 P. 1</t>
  </si>
  <si>
    <t>40 P. 7</t>
  </si>
  <si>
    <t>43 P. 4</t>
  </si>
  <si>
    <t>43 P. 9</t>
  </si>
  <si>
    <t>PASAJEROS 30 km/h, CARGA 20 km/h</t>
  </si>
  <si>
    <t>CONDICIÓN DE LA VÍA, TROCHA. HALLAZGO MRV.</t>
  </si>
  <si>
    <t>SEÑALES Y LÍNEA DE CONTACTO</t>
  </si>
  <si>
    <t>501 P. 15</t>
  </si>
  <si>
    <t>35 P. 16</t>
  </si>
  <si>
    <t>OCUPACIÓN ORDINARIA DE VÍA</t>
  </si>
  <si>
    <t>RENOVACIÓN CATENARIA / SE SOLICITA DESCONEXIÓN DE 3KV Y 2,3 KV DESDE SUB-ESTACIÓN LAJA HASTA SUB-ESTACIÓN QUILACOYA  
REGIMEN: OCUPACION ORDINARIA / ALEX MUÑOS (P-6) / 9 42495453</t>
  </si>
  <si>
    <t>CONSORCIO (ARTURO FLORES)</t>
  </si>
  <si>
    <t>PRINCIPAL Y LOCAL</t>
  </si>
  <si>
    <t>7 P. 14</t>
  </si>
  <si>
    <t>14 P. 18</t>
  </si>
  <si>
    <t>RENOVACIÓN CATENARIA / LUIS SANHUEZA (P-5.1) / 9 97870556</t>
  </si>
  <si>
    <t>CTA  (IGNACIO RETAMAL)</t>
  </si>
  <si>
    <t>21 P. 32</t>
  </si>
  <si>
    <t>30 P. 10</t>
  </si>
  <si>
    <t>36 P. 3</t>
  </si>
  <si>
    <t>35 P. 17</t>
  </si>
  <si>
    <t>46 P. 11</t>
  </si>
  <si>
    <t>RENOVACIÓN CATENARIA / SE SOLICITA DESCONEXIÓN DE 3KV DESDE SUB-ESTACIÓN QUILACOYA INCLUYENDO ESTACIÓN DE QUILACOYA HASTA ESTACIÓN HUALQUI CON ABERTURA DE CUERNO N° 5 Y 2.3 KV DESDE SUB-ESTACIÓN QUILACOYA HASTA PK 59/20
REGIMEN: OCUPACION ORDINARIA / JEAN FRANCO ARRIAGADA (P-6) / 967149202</t>
  </si>
  <si>
    <t>RENOVACIÓN CATENARIA / GUSTAVO FLORES (P-5.1) / 9 88473371</t>
  </si>
  <si>
    <t>CONCEPCIÓN</t>
  </si>
  <si>
    <t>37 P. 13</t>
  </si>
  <si>
    <t>69 P. 9</t>
  </si>
  <si>
    <t>MANTENIMIENTO DE CORRECCIÓN DEL ZIG – ZAG DEL HILO DE CONTACTO EN VEHICULO                                                                                   MANTENIMIENTO DE AISLADORES DE CATENARIAS                                                                                                                       MANTENIMIENTO DE ROCE / SE SOLICITA DESCONEXIÓN DE 3KV DESDE PV QUILACOYA-HUALQUI HASTA AMBAS VÍAS CONCEPCIÓN-CHIGUAYANTE. DESCONEXIÓN DE 2,3KV DESDE S/E QUILACOYA HASTA PK 59/20. ADEMÁS 2,3KV DESDE PK 69/9 HASTA PK 59/20. / ERASMO LEIVA (P-5.1), JESUS NAVEA (P-5.1)/ (P-6) / 998847489, 936503046 / 2300V DESDE 37/18 AL 59/20, SI NECESITAN DESDE S/E QU NECESITAN ACUÑAR CAMBIOS EN QUILACOYA</t>
  </si>
  <si>
    <t>68 P. 35</t>
  </si>
  <si>
    <t>APOYO VÍAS  / SE SOLICITAN LOS 3000V DESDE AMBAS PLENAS VÍAS CONCEPCIÓN - CHIGUAYANTE HASTA LA PLENA VÍA HUALQUI - QUILACOYA Y 2300V DESDE KM 59/20 AL 46/3 (2,3KV SE SOLICITARÁN SOLO DE SER NECESARIOS O SE SECCIONARÁ EN KM 53/11) / JUAN C. MOLINA (P-6) / 977945466</t>
  </si>
  <si>
    <t>EFE (FERNANDO ROJAS JIMÉNEZ)</t>
  </si>
  <si>
    <t>CORONEL</t>
  </si>
  <si>
    <t>37 P. 14</t>
  </si>
  <si>
    <t>27 P. 47</t>
  </si>
  <si>
    <t>ACTIVIDADES DE PROYECTO AUMENTO DE CAPACIDAD DEL BIOTREN: INSTALACIÓN DE SOPORTES PARA ALIMENTADOR DE REFUERZO Y TENDIDO DE CABLE DE ALUMINIO, ADEMÁS DE CAMBIO DE REGISTRO A MÉNSULAS, TENDIDO DE SEGUNDO HILO DE CONTACTO, PENDOLADO, INSTALACIÓN DE SENSORES Y GATEWAY, CONEXIONES DE ALIMENTADOR A PORTALES 3KV, E INSTALACIÓN DE CONEXIONES DE ALIMENTACIÓN A CATENARIA DE ALIMENTADOR DE REFUERZO. INSTALACIÓN DE POSTES EN ESTACIÓN CCP.  / SE SOLICITA DESCONEXIÓN DE 3000VCC PV QUILACOYA - CC CONSIDERANDO PATIO HASTA CORONEL Y 2300VCA DESDE 59/20 A CCP HASTA LOMAS COLORADAS  Y 12000VCA DESDE SER CONCEPCIÓN A PUENTE BIO BIO // REGIMEN OCUPACIÓN ORDINARIA DE VÍA / LUIS GARAY (P-6) / 943441848 / SE LE COMUNICA AL CONTRATISTA QUE DEBERA ENVIAR LAS PROXIMAS SEMANAS CON SOLO 1 P6.</t>
  </si>
  <si>
    <t>ICIL ICAFAL (MARCO OSSES)</t>
  </si>
  <si>
    <t>ACTIVIDADES DE PROYECTO AUMENTO DE CAPACIDAD DEL BIOTREN: INSTALACIÓN DE SOPORTES PARA ALIMENTADOR DE REFUERZO Y TENDIDO DE CABLE DE ALUMINIO, ADEMÁS DE CAMBIO DE REGISTRO A MÉNSULAS, TENDIDO DE SEGUNDO HILO DE CONTACTO, PENDOLADO, INSTALACIÓN DE SENSORES Y GATEWAY, CONEXIONES DE ALIMENTADOR A PORTALES 3KV, E INSTALACIÓN DE CONEXIONES DE ALIMENTACIÓN A CATENARIA DE ALIMENTADOR DE REFUERZO. INSTALACIÓN DE POSTES EN ESTACIÓN CCP.  / SE SOLICITA DESCONEXIÓN DE 3000VCC PV QUILACOYA - CC CONSIDERANDO PATIO HASTA CORONEL Y 2300VCA DESDE CC HASTA LOMAS COLORADAS  Y 12000VCA DESDE SER CONCEPCIÓN A PUENTE BIO BIO // ACTIVIDADES DE PROYECTO REEMPLAZO DE COMPONENTES DE CATENARIA Y AMPLIACIÓN DE CAPACIDAD SERVICIO FERROVIARIO BIOTRÉN ENTRE CONCEPCIÓN - CORONEL / LUIS GARAY (P-6) / 943441848 / SE LE COMUNICA AL CONTRATISTA QUE DEBERA ENVIAR LAS PROXIMAS SEMANAS CON SOLO 1 P6.</t>
  </si>
  <si>
    <t>S/E LAJA</t>
  </si>
  <si>
    <t>SUBESTACIÓN</t>
  </si>
  <si>
    <t>MANTENIMIENTO BARRA CONFINADA EN DUCTOS BAJO PISO Y BARRA AEREA POSITIVA Y NEGATIVA DE 3000VCC
MANTENIMIENTO ARMARIOS RECTIFICADORES, SECCIONADORES 189 M/1 Y 189M/2, 189S/1 Y 189S/2, INSTRUMENTOS DE MEDICIÓN DE CORRIENTES Y VOLTAJES DE ENTRADA AL RECTIFICADOR
MANTENIMIENTO INTERRUPTORES AUTOMÁTICOS DE GRUPO, 72/1, 72/2, SECCIONADORES 89M/1-2; 89S/1-2 MÁS INSTRUMENTOS DE MEDICIÓN DE CORRIENTES Y VOLTAJES DE SALIDA DEL RECTIFICADOR
MANTENIMIENTOS INTERRUPTORES AUTOMÁTICOS DE ALIMENTADORES DE CC, 172 MÁS CELDAS QUE LOS ALOJAN
MANTENIMIENTO DE CELDAS AUXILIARES DE ALIMENTADORES 172, INCLUYENDO PARARRAYOS DE CC, TRANSDUCTOR DE VOLTAJE Y EQUIPOS DE PRUEBA DE LÍNEA. / SE SOLICITA DESCONEXIÓN DE LA BARRA DE 3KV, TOTALMENTE LIBRE Y ABIERTA DESDE SECCIONADORES TIPO CUERNO 189AL/1 AL 189/4 HASTA EL SECCIONADOR 89/1. ESTA CORTADA NO AFECTA LA SEÑALIZACIÓN. / LUIS VALDERRAMA (P-6), FRANCISCO ROMAN (P-6), LECTER BARRAZA (P-6), NELSON CARTES (P-6)/(P-5.1) / 990770277, 978975751, 932114266, 952059514 / SE LE COMUNICA AL CONTRATISTA QUE DEBERA ENVIAR LAS PROXIMAS SEMANAS CON SOLO 1 P6.</t>
  </si>
  <si>
    <t>SIEMENS (JESÚS TRUYOL ROJAS)</t>
  </si>
  <si>
    <t>DESMONTAJE DE CELDAS Y CONDUCTORES DE CORRIENTE CONTINUA FUERA DE SERVICIO DESDE SALA ELÉCTRICA  / SE SOLICITA DESCONEXIÓN DE 3KV, TOTALMENTE LIBRE Y ABIERTO DESDE SECCIONADORES TIPO CUERNOS, 189AL/1 AL 189AL/4 HASTA EL SECCIONADOR 89/1  / BORIS CORREA (P-6), JONATHAN VILLABLANCA (P-6), LUIS RIVERA (P-6), OMAR ULLOA (P-6) / 944701595, 938941810, 964569235, 938941810</t>
  </si>
  <si>
    <t>SIEMENS (ESTEBAN CHAMBE)</t>
  </si>
  <si>
    <t>MANTENIMIENTO DE PORTAL 3 KV, INCLUYENDO SECCIONADORES TIPO CUERNOS MANUALES Y MOTORIZADOS, SUS CAJAS DE MANDO, TONDINOS, AISLADORES Y PUENTES ALIMENTADORES DE SALIDA / SE SOLICITA DESCONEXIÓN DE 3KV, TOTALMENTE LIBRE Y ABIERTO DESDE SECCIONADORES TIPO CUERNOS, 189AL/2 AL 189AL/4 HASTA EL SECCIONADOR 89/1, ADEMÁS CORTADA DE 3.000V DESDE EL PATIO ESTACIÓN LAJA HASTA PLENA VÍA UNIHUE - QUILACOYA, INCLUIDO PATIO 3.000V EN SAN ROSENDO, SE SOLICITA PRESENCIA DEL OPERADOR. / LUIS VALDERRAMA (P-6), FRANCISCO ROMAN (P-6), LECTER BARRAZA (P-6), NELSON CARTES (P-6)/(P-5.1) / 990770277, 978975751, 932114266, 952059514 / SE LE COMUNICA AL CONTRATISTA QUE DEBERA ENVIAR LAS PROXIMAS SEMANAS CON SOLO 1 P6.</t>
  </si>
  <si>
    <t>S/E QUILACOYA</t>
  </si>
  <si>
    <t>LEVANTAMIENTO Y EJECUCION DE PRUEBAS DE PRECOMISIONAMIENTO Y COMISIONAMIENTO DE EQUIPOS DE GRUPO DE TRACCIÓN N°2 / SE SOLICITA DESCONECTAR BARRA DE 66KV DESDE SECC. 189M CON PUESTA A TIERRA HASTA SECC. TIPO CUERNO 189 AL 1 AL 2 MÁS SECC. 189IG. DE SERVICIOS AUXILIARES. ESTO POR CONDICIONES DE INGRESO DE EQUIPOS Y SEGURIDAD / BORIS CORREA (P-6), JONATHAN VILLABLANCA (P-6), LUIS RIVERA (P-6), OMAR ULLOA (P-6) / 944701595, 938941810, 964569235, 938941810</t>
  </si>
  <si>
    <t xml:space="preserve">Emilio Barriga Alarcón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</si>
</sst>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dd/mm/yy;@"/>
    <numFmt numFmtId="166" formatCode="0.000"/>
  </numFmts>
  <fonts count="40" x14ac:knownFonts="1">
    <font>
      <sz val="11"/>
      <color theme="1"/>
      <name val="Calibri"/>
      <family val="2"/>
      <scheme val="minor"/>
    </font>
    <font>
      <sz val="11"/>
      <color theme="1"/>
      <name val="Calibri"/>
      <family val="2"/>
      <scheme val="minor"/>
    </font>
    <font>
      <b/>
      <sz val="20"/>
      <color indexed="8"/>
      <name val="Calibri"/>
      <family val="2"/>
    </font>
    <font>
      <b/>
      <sz val="11"/>
      <color indexed="8"/>
      <name val="Calibri"/>
      <family val="2"/>
    </font>
    <font>
      <b/>
      <sz val="16"/>
      <color indexed="8"/>
      <name val="Calibri"/>
      <family val="2"/>
    </font>
    <font>
      <b/>
      <sz val="12"/>
      <color indexed="8"/>
      <name val="Calibri"/>
      <family val="2"/>
    </font>
    <font>
      <sz val="11"/>
      <color theme="1"/>
      <name val="Calibri"/>
      <family val="2"/>
    </font>
    <font>
      <b/>
      <sz val="8"/>
      <name val="Calibri"/>
      <family val="2"/>
    </font>
    <font>
      <b/>
      <sz val="12"/>
      <name val="Calibri"/>
      <family val="2"/>
    </font>
    <font>
      <b/>
      <i/>
      <sz val="18"/>
      <name val="Calibri"/>
      <family val="2"/>
    </font>
    <font>
      <b/>
      <i/>
      <sz val="18"/>
      <color indexed="12"/>
      <name val="Calibri"/>
      <family val="2"/>
    </font>
    <font>
      <b/>
      <sz val="10"/>
      <name val="Calibri"/>
      <family val="2"/>
    </font>
    <font>
      <b/>
      <sz val="11"/>
      <name val="Calibri"/>
      <family val="2"/>
    </font>
    <font>
      <b/>
      <sz val="16"/>
      <name val="Calibri"/>
      <family val="2"/>
    </font>
    <font>
      <b/>
      <u/>
      <sz val="11"/>
      <name val="Calibri"/>
      <family val="2"/>
    </font>
    <font>
      <b/>
      <sz val="14"/>
      <color indexed="8"/>
      <name val="Calibri"/>
      <family val="2"/>
    </font>
    <font>
      <u/>
      <sz val="11"/>
      <color theme="10"/>
      <name val="Calibri"/>
      <family val="2"/>
      <scheme val="minor"/>
    </font>
    <font>
      <b/>
      <u/>
      <sz val="16"/>
      <name val="Calibri"/>
      <family val="2"/>
    </font>
    <font>
      <sz val="10"/>
      <color indexed="8"/>
      <name val="Calibri"/>
      <family val="2"/>
    </font>
    <font>
      <sz val="10"/>
      <name val="Calibri"/>
      <family val="2"/>
    </font>
    <font>
      <b/>
      <sz val="18"/>
      <color indexed="8"/>
      <name val="Calibri"/>
      <family val="2"/>
    </font>
    <font>
      <sz val="12"/>
      <color indexed="8"/>
      <name val="Calibri"/>
      <family val="2"/>
    </font>
    <font>
      <b/>
      <sz val="11"/>
      <color theme="1"/>
      <name val="Calibri"/>
      <family val="2"/>
      <scheme val="minor"/>
    </font>
    <font>
      <b/>
      <u/>
      <sz val="11"/>
      <color theme="1"/>
      <name val="Calibri"/>
      <family val="2"/>
      <scheme val="minor"/>
    </font>
    <font>
      <sz val="10"/>
      <color theme="1"/>
      <name val="Calibri"/>
      <family val="2"/>
      <scheme val="minor"/>
    </font>
    <font>
      <sz val="11"/>
      <color indexed="8"/>
      <name val="Calibri"/>
      <family val="2"/>
    </font>
    <font>
      <sz val="10.5"/>
      <color indexed="8"/>
      <name val="Calibri"/>
      <family val="2"/>
    </font>
    <font>
      <sz val="10.5"/>
      <color theme="1"/>
      <name val="Calibri"/>
      <family val="2"/>
      <scheme val="minor"/>
    </font>
    <font>
      <sz val="10.5"/>
      <color theme="1"/>
      <name val="Calibri"/>
      <family val="2"/>
    </font>
    <font>
      <u/>
      <sz val="10.5"/>
      <color theme="10"/>
      <name val="Calibri"/>
      <family val="2"/>
      <scheme val="minor"/>
    </font>
    <font>
      <b/>
      <sz val="10.5"/>
      <color theme="1"/>
      <name val="Calibri"/>
      <family val="2"/>
      <scheme val="minor"/>
    </font>
    <font>
      <b/>
      <u/>
      <sz val="11"/>
      <color rgb="FF002060"/>
      <name val="Calibri"/>
      <family val="2"/>
      <scheme val="minor"/>
    </font>
    <font>
      <b/>
      <sz val="16"/>
      <color rgb="FF000000"/>
      <name val="Calibri"/>
      <family val="2"/>
    </font>
    <font>
      <b/>
      <sz val="18"/>
      <color rgb="FF000000"/>
      <name val="Calibri"/>
      <family val="2"/>
    </font>
    <font>
      <b/>
      <sz val="24"/>
      <color rgb="FF000000"/>
      <name val="Calibri"/>
      <family val="2"/>
    </font>
    <font>
      <b/>
      <sz val="14"/>
      <color rgb="FF000000"/>
      <name val="Calibri"/>
      <family val="2"/>
    </font>
    <font>
      <b/>
      <u/>
      <sz val="12"/>
      <color rgb="FF000000"/>
      <name val="Calibri"/>
      <family val="2"/>
    </font>
    <font>
      <b/>
      <sz val="16"/>
      <color theme="0"/>
      <name val="Calibri"/>
      <family val="2"/>
    </font>
    <font>
      <b/>
      <u/>
      <sz val="16"/>
      <color theme="0"/>
      <name val="Calibri"/>
      <family val="2"/>
    </font>
    <font>
      <b/>
      <sz val="18"/>
      <color rgb="FFC00000"/>
      <name val="Calibri"/>
      <family val="2"/>
    </font>
  </fonts>
  <fills count="10">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66"/>
        <bgColor indexed="64"/>
      </patternFill>
    </fill>
    <fill>
      <patternFill patternType="solid">
        <fgColor theme="0"/>
        <bgColor indexed="64"/>
      </patternFill>
    </fill>
    <fill>
      <patternFill patternType="solid">
        <fgColor rgb="FFC00000"/>
        <bgColor indexed="64"/>
      </patternFill>
    </fill>
    <fill>
      <patternFill patternType="solid">
        <fgColor theme="4" tint="0.59999389629810485"/>
        <bgColor indexed="64"/>
      </patternFill>
    </fill>
  </fills>
  <borders count="4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s>
  <cellStyleXfs count="4">
    <xf numFmtId="0" fontId="0" fillId="0" borderId="0"/>
    <xf numFmtId="0" fontId="1" fillId="0" borderId="0"/>
    <xf numFmtId="0" fontId="1" fillId="0" borderId="0"/>
    <xf numFmtId="0" fontId="16" fillId="0" borderId="0" applyNumberFormat="0" applyFill="0" applyBorder="0" applyAlignment="0" applyProtection="0"/>
  </cellStyleXfs>
  <cellXfs count="165">
    <xf numFmtId="0" fontId="0" fillId="0" borderId="0" xfId="0"/>
    <xf numFmtId="0" fontId="6" fillId="0" borderId="0" xfId="0" applyFont="1"/>
    <xf numFmtId="0" fontId="12" fillId="2" borderId="0" xfId="1" applyFont="1" applyFill="1" applyAlignment="1">
      <alignment horizontal="center" vertical="center" wrapText="1"/>
    </xf>
    <xf numFmtId="1" fontId="12" fillId="2" borderId="0" xfId="1" applyNumberFormat="1" applyFont="1" applyFill="1" applyAlignment="1">
      <alignment horizontal="center" vertical="center" wrapText="1"/>
    </xf>
    <xf numFmtId="20" fontId="12" fillId="2" borderId="0" xfId="1" applyNumberFormat="1" applyFont="1" applyFill="1" applyAlignment="1">
      <alignment horizontal="center" vertical="center" wrapText="1"/>
    </xf>
    <xf numFmtId="165" fontId="12" fillId="2" borderId="0" xfId="1" applyNumberFormat="1" applyFont="1" applyFill="1" applyAlignment="1">
      <alignment horizontal="center" vertical="center"/>
    </xf>
    <xf numFmtId="165" fontId="12" fillId="2" borderId="0" xfId="1" applyNumberFormat="1" applyFont="1" applyFill="1" applyAlignment="1">
      <alignment horizontal="center" vertical="center" wrapText="1"/>
    </xf>
    <xf numFmtId="14" fontId="8" fillId="3" borderId="1" xfId="1" applyNumberFormat="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1" xfId="1" applyFont="1" applyFill="1" applyBorder="1" applyAlignment="1">
      <alignment horizontal="center" vertical="center" wrapText="1"/>
    </xf>
    <xf numFmtId="0" fontId="12" fillId="0" borderId="2" xfId="1" applyFont="1" applyBorder="1" applyAlignment="1">
      <alignment horizontal="center" vertical="center" wrapText="1"/>
    </xf>
    <xf numFmtId="14" fontId="12" fillId="0" borderId="2" xfId="1" applyNumberFormat="1" applyFont="1" applyBorder="1" applyAlignment="1">
      <alignment horizontal="center" vertical="center" wrapText="1"/>
    </xf>
    <xf numFmtId="20" fontId="12" fillId="0" borderId="2" xfId="1" applyNumberFormat="1" applyFont="1" applyBorder="1" applyAlignment="1">
      <alignment horizontal="center" vertical="center" wrapText="1"/>
    </xf>
    <xf numFmtId="165" fontId="12" fillId="0" borderId="2" xfId="1" applyNumberFormat="1" applyFont="1" applyBorder="1" applyAlignment="1">
      <alignment horizontal="center" vertical="center" wrapText="1"/>
    </xf>
    <xf numFmtId="0" fontId="11" fillId="3" borderId="9" xfId="1" applyFont="1" applyFill="1" applyBorder="1" applyAlignment="1">
      <alignment horizontal="center" vertical="center"/>
    </xf>
    <xf numFmtId="0" fontId="11" fillId="3" borderId="5" xfId="1" applyFont="1" applyFill="1" applyBorder="1" applyAlignment="1">
      <alignment horizontal="center" vertical="center"/>
    </xf>
    <xf numFmtId="0" fontId="3" fillId="0" borderId="20" xfId="1" applyFont="1" applyBorder="1"/>
    <xf numFmtId="0" fontId="8" fillId="0" borderId="20" xfId="1" applyFont="1" applyBorder="1" applyAlignment="1">
      <alignment vertical="center" wrapText="1"/>
    </xf>
    <xf numFmtId="164" fontId="4" fillId="0" borderId="2" xfId="1" applyNumberFormat="1" applyFont="1" applyBorder="1" applyAlignment="1">
      <alignment horizontal="center" vertical="center"/>
    </xf>
    <xf numFmtId="14" fontId="19" fillId="0" borderId="20" xfId="1" applyNumberFormat="1" applyFont="1" applyBorder="1" applyAlignment="1">
      <alignment horizontal="center" vertical="center" wrapText="1"/>
    </xf>
    <xf numFmtId="14" fontId="5" fillId="0" borderId="7" xfId="1" applyNumberFormat="1" applyFont="1" applyBorder="1" applyAlignment="1">
      <alignment horizontal="center" wrapText="1"/>
    </xf>
    <xf numFmtId="0" fontId="2" fillId="4" borderId="22" xfId="1" applyFont="1" applyFill="1" applyBorder="1" applyAlignment="1">
      <alignment vertical="center" wrapText="1"/>
    </xf>
    <xf numFmtId="0" fontId="2" fillId="4" borderId="23" xfId="1" applyFont="1" applyFill="1" applyBorder="1" applyAlignment="1">
      <alignment vertical="center" wrapText="1"/>
    </xf>
    <xf numFmtId="49" fontId="8" fillId="0" borderId="17" xfId="1" applyNumberFormat="1" applyFont="1" applyBorder="1" applyAlignment="1">
      <alignment vertical="center" wrapText="1"/>
    </xf>
    <xf numFmtId="164" fontId="10" fillId="0" borderId="17" xfId="1" applyNumberFormat="1" applyFont="1" applyBorder="1"/>
    <xf numFmtId="0" fontId="6" fillId="0" borderId="17" xfId="1" applyFont="1" applyBorder="1" applyAlignment="1">
      <alignment horizontal="center" vertical="center" wrapText="1"/>
    </xf>
    <xf numFmtId="0" fontId="12" fillId="0" borderId="30" xfId="1" applyFont="1" applyBorder="1" applyAlignment="1">
      <alignment horizontal="center" vertical="center" wrapText="1"/>
    </xf>
    <xf numFmtId="165" fontId="12" fillId="0" borderId="31" xfId="1" applyNumberFormat="1" applyFont="1" applyBorder="1" applyAlignment="1">
      <alignment horizontal="center" vertical="center" wrapText="1"/>
    </xf>
    <xf numFmtId="0" fontId="7" fillId="2" borderId="16" xfId="1" applyFont="1" applyFill="1" applyBorder="1" applyAlignment="1">
      <alignment horizontal="center" vertical="center" wrapText="1"/>
    </xf>
    <xf numFmtId="0" fontId="6" fillId="2" borderId="17" xfId="0" applyFont="1" applyFill="1" applyBorder="1"/>
    <xf numFmtId="49" fontId="8" fillId="0" borderId="2" xfId="1" applyNumberFormat="1" applyFont="1" applyBorder="1" applyAlignment="1">
      <alignment horizontal="center" vertical="center" wrapText="1"/>
    </xf>
    <xf numFmtId="1" fontId="4" fillId="0" borderId="2" xfId="1" applyNumberFormat="1" applyFont="1" applyBorder="1" applyAlignment="1">
      <alignment horizontal="center" vertical="center"/>
    </xf>
    <xf numFmtId="166" fontId="3" fillId="0" borderId="20" xfId="1" applyNumberFormat="1" applyFont="1" applyBorder="1"/>
    <xf numFmtId="166" fontId="8" fillId="3" borderId="5" xfId="1" applyNumberFormat="1" applyFont="1" applyFill="1" applyBorder="1" applyAlignment="1">
      <alignment horizontal="center" vertical="center" wrapText="1"/>
    </xf>
    <xf numFmtId="166" fontId="12" fillId="0" borderId="2" xfId="1" applyNumberFormat="1" applyFont="1" applyBorder="1" applyAlignment="1">
      <alignment horizontal="center" vertical="center" wrapText="1"/>
    </xf>
    <xf numFmtId="166" fontId="12" fillId="2" borderId="0" xfId="1" applyNumberFormat="1" applyFont="1" applyFill="1" applyAlignment="1">
      <alignment horizontal="center" vertical="center" wrapText="1"/>
    </xf>
    <xf numFmtId="166" fontId="6" fillId="0" borderId="0" xfId="0" applyNumberFormat="1" applyFont="1"/>
    <xf numFmtId="20" fontId="12" fillId="6" borderId="2" xfId="1" applyNumberFormat="1" applyFont="1" applyFill="1" applyBorder="1" applyAlignment="1">
      <alignment horizontal="center" vertical="center" wrapText="1"/>
    </xf>
    <xf numFmtId="0" fontId="12" fillId="0" borderId="2" xfId="1" applyNumberFormat="1" applyFont="1" applyBorder="1" applyAlignment="1">
      <alignment horizontal="center" vertical="center" wrapText="1"/>
    </xf>
    <xf numFmtId="0" fontId="15" fillId="5" borderId="36" xfId="1" applyFont="1" applyFill="1" applyBorder="1" applyAlignment="1">
      <alignment vertical="center" wrapText="1"/>
    </xf>
    <xf numFmtId="0" fontId="15" fillId="5" borderId="37" xfId="1" applyFont="1" applyFill="1" applyBorder="1" applyAlignment="1">
      <alignment vertical="center" wrapText="1"/>
    </xf>
    <xf numFmtId="0" fontId="15" fillId="5" borderId="38" xfId="1" applyFont="1" applyFill="1" applyBorder="1" applyAlignment="1">
      <alignment vertical="center" wrapText="1"/>
    </xf>
    <xf numFmtId="0" fontId="18" fillId="0" borderId="7" xfId="1" applyFont="1" applyBorder="1" applyAlignment="1">
      <alignment horizontal="center"/>
    </xf>
    <xf numFmtId="0" fontId="25" fillId="0" borderId="16" xfId="1" applyFont="1" applyBorder="1" applyAlignment="1">
      <alignment horizontal="center"/>
    </xf>
    <xf numFmtId="0" fontId="26" fillId="0" borderId="16" xfId="1" applyFont="1" applyBorder="1" applyAlignment="1">
      <alignment horizontal="center"/>
    </xf>
    <xf numFmtId="0" fontId="18" fillId="0" borderId="0" xfId="1" applyFont="1" applyBorder="1" applyAlignment="1">
      <alignment horizontal="center"/>
    </xf>
    <xf numFmtId="0" fontId="6" fillId="0" borderId="17" xfId="1" applyFont="1" applyBorder="1" applyAlignment="1">
      <alignment horizontal="center" wrapText="1"/>
    </xf>
    <xf numFmtId="0" fontId="6" fillId="0" borderId="0" xfId="0" applyFont="1" applyAlignment="1"/>
    <xf numFmtId="0" fontId="28" fillId="0" borderId="17" xfId="1" applyFont="1" applyBorder="1" applyAlignment="1">
      <alignment horizontal="center" wrapText="1"/>
    </xf>
    <xf numFmtId="0" fontId="28" fillId="0" borderId="0" xfId="0" applyFont="1" applyAlignment="1"/>
    <xf numFmtId="0" fontId="7" fillId="2" borderId="39" xfId="1" applyFont="1" applyFill="1" applyBorder="1" applyAlignment="1">
      <alignment horizontal="center" vertical="center" wrapText="1"/>
    </xf>
    <xf numFmtId="14" fontId="11" fillId="2" borderId="40" xfId="1" applyNumberFormat="1" applyFont="1" applyFill="1" applyBorder="1" applyAlignment="1">
      <alignment horizontal="center" vertical="center" wrapText="1"/>
    </xf>
    <xf numFmtId="0" fontId="11" fillId="2" borderId="40" xfId="1" applyFont="1" applyFill="1" applyBorder="1" applyAlignment="1">
      <alignment horizontal="center" vertical="center" wrapText="1"/>
    </xf>
    <xf numFmtId="166" fontId="11" fillId="2" borderId="40" xfId="1" applyNumberFormat="1" applyFont="1" applyFill="1" applyBorder="1" applyAlignment="1">
      <alignment horizontal="center" vertical="center" wrapText="1"/>
    </xf>
    <xf numFmtId="20" fontId="11" fillId="2" borderId="41" xfId="1" applyNumberFormat="1" applyFont="1" applyFill="1" applyBorder="1" applyAlignment="1">
      <alignment horizontal="center" vertical="center" wrapText="1"/>
    </xf>
    <xf numFmtId="165" fontId="11" fillId="2" borderId="40" xfId="1" applyNumberFormat="1" applyFont="1" applyFill="1" applyBorder="1" applyAlignment="1">
      <alignment horizontal="center" vertical="center"/>
    </xf>
    <xf numFmtId="165" fontId="11" fillId="2" borderId="42" xfId="1" applyNumberFormat="1" applyFont="1" applyFill="1" applyBorder="1" applyAlignment="1">
      <alignment horizontal="center" vertical="center"/>
    </xf>
    <xf numFmtId="0" fontId="14" fillId="0" borderId="0" xfId="1" applyFont="1" applyBorder="1" applyAlignment="1">
      <alignment vertical="center" wrapText="1"/>
    </xf>
    <xf numFmtId="0" fontId="12" fillId="0" borderId="0" xfId="1" applyFont="1" applyBorder="1" applyAlignment="1">
      <alignment vertical="center" wrapText="1"/>
    </xf>
    <xf numFmtId="0" fontId="18" fillId="0" borderId="14" xfId="1" applyFont="1" applyBorder="1" applyAlignment="1">
      <alignment horizontal="center"/>
    </xf>
    <xf numFmtId="0" fontId="18" fillId="0" borderId="18" xfId="1" applyFont="1" applyBorder="1" applyAlignment="1">
      <alignment horizontal="center"/>
    </xf>
    <xf numFmtId="0" fontId="5" fillId="0" borderId="7" xfId="1" applyFont="1" applyBorder="1" applyAlignment="1">
      <alignment horizontal="left"/>
    </xf>
    <xf numFmtId="166" fontId="6" fillId="0" borderId="7" xfId="1" applyNumberFormat="1" applyFont="1" applyBorder="1"/>
    <xf numFmtId="0" fontId="6" fillId="0" borderId="7" xfId="1" applyFont="1" applyBorder="1"/>
    <xf numFmtId="0" fontId="5" fillId="0" borderId="6" xfId="1" applyFont="1" applyBorder="1" applyAlignment="1">
      <alignment horizontal="left"/>
    </xf>
    <xf numFmtId="14" fontId="5" fillId="0" borderId="6" xfId="1" applyNumberFormat="1" applyFont="1" applyBorder="1" applyAlignment="1">
      <alignment horizontal="center" wrapText="1"/>
    </xf>
    <xf numFmtId="166" fontId="6" fillId="0" borderId="6" xfId="1" applyNumberFormat="1" applyFont="1" applyBorder="1" applyAlignment="1"/>
    <xf numFmtId="0" fontId="6" fillId="0" borderId="0" xfId="0" applyFont="1" applyBorder="1"/>
    <xf numFmtId="166" fontId="6" fillId="0" borderId="0" xfId="0" applyNumberFormat="1" applyFont="1" applyBorder="1"/>
    <xf numFmtId="0" fontId="7" fillId="0" borderId="36" xfId="1" applyFont="1" applyBorder="1" applyAlignment="1">
      <alignment horizontal="center" vertical="center" wrapText="1"/>
    </xf>
    <xf numFmtId="0" fontId="14" fillId="0" borderId="37" xfId="1" applyFont="1" applyBorder="1" applyAlignment="1">
      <alignment vertical="center" wrapText="1"/>
    </xf>
    <xf numFmtId="0" fontId="14" fillId="0" borderId="38" xfId="1" applyFont="1" applyBorder="1" applyAlignment="1">
      <alignment vertical="center" wrapText="1"/>
    </xf>
    <xf numFmtId="166" fontId="8" fillId="0" borderId="0" xfId="1" applyNumberFormat="1" applyFont="1" applyBorder="1" applyAlignment="1">
      <alignment vertical="center" wrapText="1"/>
    </xf>
    <xf numFmtId="0" fontId="8" fillId="0" borderId="0" xfId="1" applyFont="1" applyBorder="1" applyAlignment="1">
      <alignment vertical="center" wrapText="1"/>
    </xf>
    <xf numFmtId="49" fontId="18" fillId="0" borderId="0" xfId="1" applyNumberFormat="1" applyFont="1" applyBorder="1" applyAlignment="1">
      <alignment horizontal="center" vertical="center" wrapText="1"/>
    </xf>
    <xf numFmtId="0" fontId="3" fillId="0" borderId="0" xfId="1" applyFont="1" applyBorder="1"/>
    <xf numFmtId="49" fontId="8" fillId="0" borderId="0" xfId="1" applyNumberFormat="1" applyFont="1" applyBorder="1" applyAlignment="1">
      <alignment vertical="center" wrapText="1"/>
    </xf>
    <xf numFmtId="49" fontId="9" fillId="0" borderId="0" xfId="1" applyNumberFormat="1" applyFont="1" applyBorder="1" applyAlignment="1">
      <alignment horizontal="center" wrapText="1"/>
    </xf>
    <xf numFmtId="0" fontId="4" fillId="0" borderId="0" xfId="1" applyFont="1" applyBorder="1"/>
    <xf numFmtId="164" fontId="10" fillId="0" borderId="0" xfId="1" applyNumberFormat="1" applyFont="1" applyBorder="1"/>
    <xf numFmtId="14" fontId="5" fillId="0" borderId="0" xfId="1" applyNumberFormat="1" applyFont="1" applyBorder="1" applyAlignment="1">
      <alignment horizontal="center" wrapText="1"/>
    </xf>
    <xf numFmtId="0" fontId="6" fillId="0" borderId="0" xfId="1" applyFont="1" applyBorder="1"/>
    <xf numFmtId="166" fontId="6" fillId="0" borderId="0" xfId="1" applyNumberFormat="1" applyFont="1" applyBorder="1"/>
    <xf numFmtId="0" fontId="23" fillId="7" borderId="0" xfId="0" applyFont="1" applyFill="1" applyBorder="1" applyAlignment="1"/>
    <xf numFmtId="0" fontId="31" fillId="7" borderId="0" xfId="0" applyFont="1" applyFill="1" applyBorder="1" applyAlignment="1"/>
    <xf numFmtId="0" fontId="31" fillId="7" borderId="0" xfId="0" applyFont="1" applyFill="1" applyBorder="1" applyAlignment="1">
      <alignment horizontal="center"/>
    </xf>
    <xf numFmtId="0" fontId="27" fillId="7" borderId="0" xfId="0" applyFont="1" applyFill="1" applyBorder="1" applyAlignment="1"/>
    <xf numFmtId="0" fontId="24" fillId="7" borderId="0" xfId="0" applyFont="1" applyFill="1" applyBorder="1" applyAlignment="1"/>
    <xf numFmtId="0" fontId="22" fillId="7" borderId="0" xfId="0" applyFont="1" applyFill="1" applyBorder="1" applyAlignment="1">
      <alignment horizontal="center"/>
    </xf>
    <xf numFmtId="0" fontId="29" fillId="7" borderId="0" xfId="3" applyFont="1" applyFill="1" applyBorder="1" applyAlignment="1">
      <alignment horizontal="center"/>
    </xf>
    <xf numFmtId="0" fontId="29" fillId="7" borderId="0" xfId="3" applyFont="1" applyFill="1" applyBorder="1" applyAlignment="1"/>
    <xf numFmtId="166" fontId="28" fillId="0" borderId="0" xfId="1" applyNumberFormat="1" applyFont="1" applyBorder="1" applyAlignment="1"/>
    <xf numFmtId="0" fontId="28" fillId="0" borderId="0" xfId="1" applyFont="1" applyBorder="1" applyAlignment="1"/>
    <xf numFmtId="166" fontId="6" fillId="0" borderId="0" xfId="1" applyNumberFormat="1" applyFont="1" applyBorder="1" applyAlignment="1"/>
    <xf numFmtId="0" fontId="6" fillId="0" borderId="0" xfId="1" applyFont="1" applyBorder="1" applyAlignment="1"/>
    <xf numFmtId="0" fontId="24" fillId="7" borderId="0" xfId="0" applyFont="1" applyFill="1" applyBorder="1" applyAlignment="1">
      <alignment horizontal="center"/>
    </xf>
    <xf numFmtId="0" fontId="30" fillId="7" borderId="0" xfId="0" applyFont="1" applyFill="1" applyBorder="1" applyAlignment="1">
      <alignment horizontal="center"/>
    </xf>
    <xf numFmtId="0" fontId="26" fillId="0" borderId="18" xfId="1" applyFont="1" applyBorder="1" applyAlignment="1">
      <alignment horizontal="center"/>
    </xf>
    <xf numFmtId="0" fontId="6" fillId="0" borderId="7" xfId="1" applyFont="1" applyBorder="1" applyAlignment="1"/>
    <xf numFmtId="166" fontId="6" fillId="0" borderId="7" xfId="1" applyNumberFormat="1" applyFont="1" applyBorder="1" applyAlignment="1"/>
    <xf numFmtId="0" fontId="6" fillId="0" borderId="19" xfId="1" applyFont="1" applyBorder="1" applyAlignment="1">
      <alignment horizontal="center" wrapText="1"/>
    </xf>
    <xf numFmtId="0" fontId="13" fillId="9" borderId="36" xfId="1" applyFont="1" applyFill="1" applyBorder="1" applyAlignment="1">
      <alignment horizontal="center" vertical="center" wrapText="1"/>
    </xf>
    <xf numFmtId="0" fontId="13" fillId="9" borderId="37" xfId="1" applyFont="1" applyFill="1" applyBorder="1" applyAlignment="1">
      <alignment horizontal="center" vertical="center"/>
    </xf>
    <xf numFmtId="0" fontId="13" fillId="9" borderId="38" xfId="1" applyFont="1" applyFill="1" applyBorder="1" applyAlignment="1">
      <alignment horizontal="center" vertical="center"/>
    </xf>
    <xf numFmtId="0" fontId="15" fillId="5" borderId="37" xfId="1" applyFont="1" applyFill="1" applyBorder="1" applyAlignment="1">
      <alignment horizontal="center" vertical="center" wrapText="1"/>
    </xf>
    <xf numFmtId="0" fontId="35" fillId="6" borderId="36" xfId="1" applyFont="1" applyFill="1" applyBorder="1" applyAlignment="1">
      <alignment horizontal="center" vertical="center" wrapText="1"/>
    </xf>
    <xf numFmtId="0" fontId="15" fillId="6" borderId="37" xfId="1" applyFont="1" applyFill="1" applyBorder="1" applyAlignment="1">
      <alignment horizontal="center" vertical="center" wrapText="1"/>
    </xf>
    <xf numFmtId="0" fontId="15" fillId="6" borderId="38" xfId="1" applyFont="1" applyFill="1" applyBorder="1" applyAlignment="1">
      <alignment horizontal="center" vertical="center" wrapText="1"/>
    </xf>
    <xf numFmtId="0" fontId="37" fillId="8" borderId="36" xfId="1" applyFont="1" applyFill="1" applyBorder="1" applyAlignment="1">
      <alignment horizontal="center" vertical="center" wrapText="1"/>
    </xf>
    <xf numFmtId="0" fontId="37" fillId="8" borderId="37" xfId="1" applyFont="1" applyFill="1" applyBorder="1" applyAlignment="1">
      <alignment horizontal="center" vertical="center" wrapText="1"/>
    </xf>
    <xf numFmtId="0" fontId="37" fillId="8" borderId="38" xfId="1" applyFont="1" applyFill="1" applyBorder="1" applyAlignment="1">
      <alignment horizontal="center" vertical="center" wrapText="1"/>
    </xf>
    <xf numFmtId="0" fontId="5" fillId="0" borderId="6" xfId="1" applyFont="1" applyBorder="1" applyAlignment="1">
      <alignment horizontal="left" vertical="center"/>
    </xf>
    <xf numFmtId="0" fontId="5" fillId="0" borderId="15" xfId="1" applyFont="1" applyBorder="1" applyAlignment="1">
      <alignment horizontal="left" vertical="center"/>
    </xf>
    <xf numFmtId="0" fontId="5" fillId="0" borderId="7" xfId="1" applyFont="1" applyBorder="1" applyAlignment="1">
      <alignment horizontal="left" vertical="center"/>
    </xf>
    <xf numFmtId="0" fontId="5" fillId="0" borderId="19" xfId="1" applyFont="1" applyBorder="1" applyAlignment="1">
      <alignment horizontal="left" vertical="center"/>
    </xf>
    <xf numFmtId="166" fontId="8" fillId="3" borderId="11" xfId="1" applyNumberFormat="1" applyFont="1" applyFill="1" applyBorder="1" applyAlignment="1">
      <alignment horizontal="center" vertical="center" wrapText="1"/>
    </xf>
    <xf numFmtId="166" fontId="8" fillId="3" borderId="12" xfId="1" applyNumberFormat="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1" xfId="1" applyFont="1" applyFill="1" applyBorder="1" applyAlignment="1">
      <alignment horizontal="center" vertical="center" wrapText="1"/>
    </xf>
    <xf numFmtId="14" fontId="8" fillId="3" borderId="3" xfId="1" applyNumberFormat="1" applyFont="1" applyFill="1" applyBorder="1" applyAlignment="1">
      <alignment horizontal="center" vertical="center" wrapText="1"/>
    </xf>
    <xf numFmtId="14" fontId="8" fillId="3" borderId="4" xfId="1" applyNumberFormat="1" applyFont="1" applyFill="1" applyBorder="1" applyAlignment="1">
      <alignment horizontal="center" vertical="center" wrapText="1"/>
    </xf>
    <xf numFmtId="0" fontId="8" fillId="3" borderId="33" xfId="1" applyFont="1" applyFill="1" applyBorder="1" applyAlignment="1">
      <alignment horizontal="center" vertical="center" wrapText="1"/>
    </xf>
    <xf numFmtId="0" fontId="8" fillId="3" borderId="35" xfId="1" applyFont="1" applyFill="1" applyBorder="1" applyAlignment="1">
      <alignment horizontal="center" vertical="center" wrapText="1"/>
    </xf>
    <xf numFmtId="165" fontId="8" fillId="3" borderId="34" xfId="1" applyNumberFormat="1" applyFont="1" applyFill="1" applyBorder="1" applyAlignment="1">
      <alignment horizontal="center" vertical="center" wrapText="1"/>
    </xf>
    <xf numFmtId="165" fontId="8" fillId="3" borderId="32" xfId="1" applyNumberFormat="1" applyFont="1" applyFill="1" applyBorder="1" applyAlignment="1">
      <alignment horizontal="center" vertical="center" wrapText="1"/>
    </xf>
    <xf numFmtId="165" fontId="8" fillId="3" borderId="3" xfId="1" applyNumberFormat="1" applyFont="1" applyFill="1" applyBorder="1" applyAlignment="1">
      <alignment horizontal="center" vertical="center" wrapText="1"/>
    </xf>
    <xf numFmtId="165" fontId="8" fillId="3" borderId="4" xfId="1" applyNumberFormat="1" applyFont="1" applyFill="1" applyBorder="1" applyAlignment="1">
      <alignment horizontal="center" vertical="center" wrapText="1"/>
    </xf>
    <xf numFmtId="20" fontId="8" fillId="3" borderId="3" xfId="1" applyNumberFormat="1" applyFont="1" applyFill="1" applyBorder="1" applyAlignment="1">
      <alignment horizontal="center" vertical="center" wrapText="1"/>
    </xf>
    <xf numFmtId="20" fontId="8" fillId="3" borderId="4" xfId="1" applyNumberFormat="1" applyFont="1" applyFill="1" applyBorder="1" applyAlignment="1">
      <alignment horizontal="center" vertical="center" wrapText="1"/>
    </xf>
    <xf numFmtId="164" fontId="5" fillId="4" borderId="23" xfId="1" applyNumberFormat="1" applyFont="1" applyFill="1" applyBorder="1" applyAlignment="1">
      <alignment horizontal="center" vertical="center"/>
    </xf>
    <xf numFmtId="164" fontId="5" fillId="4" borderId="24" xfId="1" applyNumberFormat="1" applyFont="1" applyFill="1" applyBorder="1" applyAlignment="1">
      <alignment horizontal="center" vertical="center"/>
    </xf>
    <xf numFmtId="0" fontId="18" fillId="0" borderId="25" xfId="1" applyFont="1" applyBorder="1" applyAlignment="1">
      <alignment horizontal="center" vertical="center"/>
    </xf>
    <xf numFmtId="0" fontId="18" fillId="0" borderId="20" xfId="1" applyFont="1" applyBorder="1" applyAlignment="1">
      <alignment horizontal="center" vertical="center"/>
    </xf>
    <xf numFmtId="0" fontId="7" fillId="0" borderId="20" xfId="1" applyFont="1" applyBorder="1" applyAlignment="1">
      <alignment horizontal="center" vertical="center" wrapText="1"/>
    </xf>
    <xf numFmtId="0" fontId="7" fillId="0" borderId="26" xfId="1" applyFont="1" applyBorder="1" applyAlignment="1">
      <alignment horizontal="center" vertical="center" wrapText="1"/>
    </xf>
    <xf numFmtId="0" fontId="20" fillId="4" borderId="23" xfId="1" applyFont="1" applyFill="1" applyBorder="1" applyAlignment="1">
      <alignment horizontal="center" vertical="center" wrapText="1"/>
    </xf>
    <xf numFmtId="166" fontId="5" fillId="0" borderId="2" xfId="1" applyNumberFormat="1" applyFont="1" applyBorder="1" applyAlignment="1">
      <alignment horizontal="center" vertical="center"/>
    </xf>
    <xf numFmtId="0" fontId="18" fillId="0" borderId="27" xfId="1" applyFont="1" applyBorder="1" applyAlignment="1">
      <alignment horizontal="center" vertical="center"/>
    </xf>
    <xf numFmtId="0" fontId="18" fillId="0" borderId="21" xfId="1" applyFont="1" applyBorder="1" applyAlignment="1">
      <alignment horizontal="center" vertical="center"/>
    </xf>
    <xf numFmtId="0" fontId="9" fillId="0" borderId="27" xfId="1" applyFont="1" applyBorder="1" applyAlignment="1">
      <alignment horizontal="center"/>
    </xf>
    <xf numFmtId="0" fontId="9" fillId="0" borderId="21" xfId="1" applyFont="1" applyBorder="1" applyAlignment="1">
      <alignment horizontal="center"/>
    </xf>
    <xf numFmtId="0" fontId="18" fillId="0" borderId="16" xfId="1" applyFont="1" applyBorder="1" applyAlignment="1">
      <alignment horizontal="center"/>
    </xf>
    <xf numFmtId="0" fontId="18" fillId="0" borderId="0" xfId="1" applyFont="1" applyBorder="1" applyAlignment="1">
      <alignment horizontal="center"/>
    </xf>
    <xf numFmtId="0" fontId="8" fillId="3" borderId="14"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10" xfId="1" applyFont="1" applyFill="1" applyBorder="1" applyAlignment="1">
      <alignment horizontal="center" vertical="center" wrapText="1"/>
    </xf>
    <xf numFmtId="0" fontId="8" fillId="3" borderId="8" xfId="1" applyFont="1" applyFill="1" applyBorder="1" applyAlignment="1">
      <alignment horizontal="center" vertical="center" wrapText="1"/>
    </xf>
    <xf numFmtId="14" fontId="21" fillId="0" borderId="2" xfId="1" applyNumberFormat="1" applyFont="1" applyBorder="1" applyAlignment="1">
      <alignment horizontal="center" vertical="center"/>
    </xf>
    <xf numFmtId="0" fontId="31" fillId="7" borderId="0" xfId="0" applyFont="1" applyFill="1" applyBorder="1" applyAlignment="1">
      <alignment horizontal="center"/>
    </xf>
    <xf numFmtId="0" fontId="22" fillId="7" borderId="0" xfId="0" applyFont="1" applyFill="1" applyBorder="1" applyAlignment="1">
      <alignment horizontal="center"/>
    </xf>
    <xf numFmtId="0" fontId="29" fillId="7" borderId="0" xfId="3" applyFont="1" applyFill="1" applyBorder="1" applyAlignment="1">
      <alignment horizontal="center"/>
    </xf>
    <xf numFmtId="0" fontId="24" fillId="7" borderId="0" xfId="0" applyFont="1" applyFill="1" applyBorder="1" applyAlignment="1">
      <alignment horizontal="center"/>
    </xf>
    <xf numFmtId="0" fontId="8" fillId="3" borderId="28" xfId="1" applyFont="1" applyFill="1" applyBorder="1" applyAlignment="1">
      <alignment horizontal="center" vertical="center" wrapText="1"/>
    </xf>
    <xf numFmtId="0" fontId="8" fillId="3" borderId="29" xfId="1" applyFont="1" applyFill="1" applyBorder="1" applyAlignment="1">
      <alignment horizontal="center" vertical="center" wrapText="1"/>
    </xf>
    <xf numFmtId="0" fontId="14" fillId="0" borderId="37" xfId="1" applyFont="1" applyBorder="1" applyAlignment="1">
      <alignment horizontal="center" vertical="center"/>
    </xf>
    <xf numFmtId="0" fontId="12" fillId="0" borderId="0" xfId="1" applyFont="1" applyBorder="1" applyAlignment="1">
      <alignment horizontal="left" vertical="center"/>
    </xf>
    <xf numFmtId="0" fontId="8" fillId="3" borderId="13" xfId="1" applyFont="1" applyFill="1" applyBorder="1" applyAlignment="1">
      <alignment horizontal="center" vertical="center"/>
    </xf>
    <xf numFmtId="0" fontId="8" fillId="3" borderId="12" xfId="1" applyFont="1" applyFill="1" applyBorder="1" applyAlignment="1">
      <alignment horizontal="center" vertical="center"/>
    </xf>
    <xf numFmtId="0" fontId="8" fillId="3" borderId="11" xfId="1" applyFont="1" applyFill="1" applyBorder="1" applyAlignment="1">
      <alignment horizontal="center" vertical="center"/>
    </xf>
    <xf numFmtId="0" fontId="8" fillId="3" borderId="11" xfId="1" applyFont="1" applyFill="1" applyBorder="1" applyAlignment="1">
      <alignment horizontal="center" vertical="center" wrapText="1"/>
    </xf>
    <xf numFmtId="0" fontId="8" fillId="3" borderId="12" xfId="1" applyFont="1" applyFill="1" applyBorder="1" applyAlignment="1">
      <alignment horizontal="center" vertical="center" wrapText="1"/>
    </xf>
    <xf numFmtId="0" fontId="12" fillId="0" borderId="3" xfId="1" applyFont="1" applyBorder="1" applyAlignment="1">
      <alignment horizontal="center" vertical="center" wrapText="1"/>
    </xf>
    <xf numFmtId="0" fontId="12" fillId="0" borderId="43" xfId="1" applyFont="1" applyBorder="1" applyAlignment="1">
      <alignment horizontal="center" vertical="center" wrapText="1"/>
    </xf>
    <xf numFmtId="0" fontId="12" fillId="0" borderId="4" xfId="1" applyFont="1" applyBorder="1" applyAlignment="1">
      <alignment horizontal="center" vertical="center" wrapText="1"/>
    </xf>
    <xf numFmtId="0" fontId="30" fillId="7" borderId="0" xfId="0" applyFont="1" applyFill="1" applyBorder="1" applyAlignment="1">
      <alignment horizontal="center"/>
    </xf>
  </cellXfs>
  <cellStyles count="4">
    <cellStyle name="Hipervínculo" xfId="3" builtinId="8"/>
    <cellStyle name="Normal" xfId="0" builtinId="0"/>
    <cellStyle name="Normal 2" xfId="1" xr:uid="{00000000-0005-0000-0000-000002000000}"/>
    <cellStyle name="Normal 2 13" xfId="2" xr:uid="{00000000-0005-0000-0000-000003000000}"/>
  </cellStyles>
  <dxfs count="5">
    <dxf>
      <font>
        <color rgb="FFFF0000"/>
      </font>
    </dxf>
    <dxf>
      <font>
        <color rgb="FFFF0000"/>
      </font>
      <fill>
        <patternFill patternType="none">
          <bgColor auto="1"/>
        </patternFill>
      </fill>
    </dxf>
    <dxf>
      <font>
        <color auto="1"/>
      </font>
      <fill>
        <patternFill>
          <bgColor rgb="FFFFFF66"/>
        </patternFill>
      </fill>
    </dxf>
    <dxf>
      <fill>
        <patternFill>
          <bgColor theme="4" tint="0.79998168889431442"/>
        </patternFill>
      </fill>
    </dxf>
    <dxf>
      <fill>
        <patternFill>
          <bgColor rgb="FFFFF9CD"/>
        </patternFill>
      </fill>
    </dxf>
  </dxfs>
  <tableStyles count="0" defaultTableStyle="TableStyleMedium2" defaultPivotStyle="PivotStyleMedium9"/>
  <colors>
    <mruColors>
      <color rgb="FFFFF9CD"/>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3151094</xdr:colOff>
      <xdr:row>0</xdr:row>
      <xdr:rowOff>51308</xdr:rowOff>
    </xdr:from>
    <xdr:ext cx="1652067" cy="264560"/>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10151969" y="51308"/>
          <a:ext cx="16520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s-CL" sz="1100" b="1" baseline="0"/>
            <a:t>VALIDO PARA EL DIA :</a:t>
          </a:r>
          <a:endParaRPr lang="es-CL" sz="1100" b="1"/>
        </a:p>
      </xdr:txBody>
    </xdr:sp>
    <xdr:clientData/>
  </xdr:oneCellAnchor>
  <xdr:twoCellAnchor>
    <xdr:from>
      <xdr:col>5</xdr:col>
      <xdr:colOff>76200</xdr:colOff>
      <xdr:row>66</xdr:row>
      <xdr:rowOff>77320</xdr:rowOff>
    </xdr:from>
    <xdr:to>
      <xdr:col>7</xdr:col>
      <xdr:colOff>3207683</xdr:colOff>
      <xdr:row>66</xdr:row>
      <xdr:rowOff>1704975</xdr:rowOff>
    </xdr:to>
    <xdr:sp macro="" textlink="">
      <xdr:nvSpPr>
        <xdr:cNvPr id="785" name="784 CuadroTexto">
          <a:extLst>
            <a:ext uri="{FF2B5EF4-FFF2-40B4-BE49-F238E27FC236}">
              <a16:creationId xmlns:a16="http://schemas.microsoft.com/office/drawing/2014/main" id="{00000000-0008-0000-0000-000011030000}"/>
            </a:ext>
          </a:extLst>
        </xdr:cNvPr>
        <xdr:cNvSpPr txBox="1"/>
      </xdr:nvSpPr>
      <xdr:spPr>
        <a:xfrm>
          <a:off x="4457700" y="19984570"/>
          <a:ext cx="5560358" cy="162765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s-CL" sz="1400" b="1" u="sng"/>
            <a:t>VELOCIDADES DE PASO POR PaN CON SLA Y GUARDA CRUZADA</a:t>
          </a:r>
        </a:p>
        <a:p>
          <a:pPr algn="ctr"/>
          <a:r>
            <a:rPr lang="es-CL" sz="1100" b="1" i="0" u="none" strike="noStrike">
              <a:solidFill>
                <a:schemeClr val="dk1"/>
              </a:solidFill>
              <a:effectLst/>
              <a:latin typeface="+mn-lt"/>
              <a:ea typeface="+mn-ea"/>
              <a:cs typeface="+mn-cs"/>
            </a:rPr>
            <a:t>(SOLO TREN PASAJEROS)</a:t>
          </a:r>
        </a:p>
        <a:p>
          <a:pPr algn="ctr"/>
          <a:r>
            <a:rPr lang="es-CL" sz="1200" b="1" i="0" u="sng" strike="noStrike">
              <a:solidFill>
                <a:schemeClr val="dk1"/>
              </a:solidFill>
              <a:effectLst/>
              <a:latin typeface="+mn-lt"/>
              <a:ea typeface="+mn-ea"/>
              <a:cs typeface="+mn-cs"/>
            </a:rPr>
            <a:t>NOMBRE		UBICACIÓN		VELOCIDAD</a:t>
          </a:r>
          <a:r>
            <a:rPr lang="es-CL" sz="1200" u="sng"/>
            <a:t> </a:t>
          </a:r>
        </a:p>
        <a:p>
          <a:pPr algn="ctr"/>
          <a:r>
            <a:rPr lang="es-CL" sz="1200" b="1" i="0" u="none" strike="noStrike">
              <a:solidFill>
                <a:schemeClr val="dk1"/>
              </a:solidFill>
              <a:effectLst/>
              <a:latin typeface="+mn-lt"/>
              <a:ea typeface="+mn-ea"/>
              <a:cs typeface="+mn-cs"/>
            </a:rPr>
            <a:t>1.- LOS  ACACIOS, ( TL )	PK. 24,537		30 KM/HR</a:t>
          </a:r>
        </a:p>
        <a:p>
          <a:pPr algn="ctr"/>
          <a:endParaRPr lang="es-CL" sz="1200" b="0" i="0" u="none" strike="noStrike">
            <a:solidFill>
              <a:schemeClr val="dk1"/>
            </a:solidFill>
            <a:effectLst/>
            <a:latin typeface="+mn-lt"/>
            <a:ea typeface="+mn-ea"/>
            <a:cs typeface="+mn-cs"/>
          </a:endParaRPr>
        </a:p>
        <a:p>
          <a:pPr algn="ctr"/>
          <a:r>
            <a:rPr lang="es-CL" sz="1200" b="1" i="0" u="none" strike="noStrike">
              <a:solidFill>
                <a:schemeClr val="dk1"/>
              </a:solidFill>
              <a:effectLst/>
              <a:latin typeface="+mn-lt"/>
              <a:ea typeface="+mn-ea"/>
              <a:cs typeface="+mn-cs"/>
            </a:rPr>
            <a:t>2.- UNIHUE		PK. 29,070	</a:t>
          </a:r>
          <a:r>
            <a:rPr lang="es-CL" sz="1200" b="1" i="0" u="none" strike="noStrike" baseline="0">
              <a:solidFill>
                <a:schemeClr val="dk1"/>
              </a:solidFill>
              <a:effectLst/>
              <a:latin typeface="+mn-lt"/>
              <a:ea typeface="+mn-ea"/>
              <a:cs typeface="+mn-cs"/>
            </a:rPr>
            <a:t>	15</a:t>
          </a:r>
          <a:r>
            <a:rPr lang="es-CL" sz="1200" b="1" i="0">
              <a:solidFill>
                <a:schemeClr val="dk1"/>
              </a:solidFill>
              <a:effectLst/>
              <a:latin typeface="+mn-lt"/>
              <a:ea typeface="+mn-ea"/>
              <a:cs typeface="+mn-cs"/>
            </a:rPr>
            <a:t> KM/HR</a:t>
          </a:r>
        </a:p>
        <a:p>
          <a:pPr algn="ctr"/>
          <a:endParaRPr lang="es-CL" sz="1200" b="1" i="0" u="none" strike="noStrike">
            <a:solidFill>
              <a:schemeClr val="dk1"/>
            </a:solidFill>
            <a:effectLst/>
            <a:latin typeface="+mn-lt"/>
            <a:ea typeface="+mn-ea"/>
            <a:cs typeface="+mn-cs"/>
          </a:endParaRPr>
        </a:p>
        <a:p>
          <a:pPr algn="ctr"/>
          <a:r>
            <a:rPr lang="es-CL" sz="1200" b="1" i="0" u="none" strike="noStrike">
              <a:solidFill>
                <a:schemeClr val="dk1"/>
              </a:solidFill>
              <a:effectLst/>
              <a:latin typeface="+mn-lt"/>
              <a:ea typeface="+mn-ea"/>
              <a:cs typeface="+mn-cs"/>
            </a:rPr>
            <a:t>3.- SAN MIGUEL	PK.</a:t>
          </a:r>
          <a:r>
            <a:rPr lang="es-CL" sz="1200" b="1" i="0" u="none" strike="noStrike" baseline="0">
              <a:solidFill>
                <a:schemeClr val="dk1"/>
              </a:solidFill>
              <a:effectLst/>
              <a:latin typeface="+mn-lt"/>
              <a:ea typeface="+mn-ea"/>
              <a:cs typeface="+mn-cs"/>
            </a:rPr>
            <a:t> 34,100</a:t>
          </a:r>
          <a:r>
            <a:rPr lang="es-CL" sz="1200" b="1" i="0" u="none" strike="noStrike">
              <a:solidFill>
                <a:schemeClr val="dk1"/>
              </a:solidFill>
              <a:effectLst/>
              <a:latin typeface="+mn-lt"/>
              <a:ea typeface="+mn-ea"/>
              <a:cs typeface="+mn-cs"/>
            </a:rPr>
            <a:t>		3</a:t>
          </a:r>
          <a:r>
            <a:rPr lang="es-CL" sz="1200" b="1" i="0">
              <a:solidFill>
                <a:schemeClr val="dk1"/>
              </a:solidFill>
              <a:effectLst/>
              <a:latin typeface="+mn-lt"/>
              <a:ea typeface="+mn-ea"/>
              <a:cs typeface="+mn-cs"/>
            </a:rPr>
            <a:t>0 KM/HR</a:t>
          </a:r>
          <a:endParaRPr lang="es-CL" sz="1100"/>
        </a:p>
      </xdr:txBody>
    </xdr:sp>
    <xdr:clientData/>
  </xdr:twoCellAnchor>
  <xdr:twoCellAnchor editAs="oneCell">
    <xdr:from>
      <xdr:col>10</xdr:col>
      <xdr:colOff>9525</xdr:colOff>
      <xdr:row>1</xdr:row>
      <xdr:rowOff>57150</xdr:rowOff>
    </xdr:from>
    <xdr:to>
      <xdr:col>12</xdr:col>
      <xdr:colOff>541125</xdr:colOff>
      <xdr:row>4</xdr:row>
      <xdr:rowOff>88175</xdr:rowOff>
    </xdr:to>
    <xdr:pic>
      <xdr:nvPicPr>
        <xdr:cNvPr id="5" name="Imagen 4">
          <a:extLst>
            <a:ext uri="{FF2B5EF4-FFF2-40B4-BE49-F238E27FC236}">
              <a16:creationId xmlns:a16="http://schemas.microsoft.com/office/drawing/2014/main" id="{29892B38-0D97-4001-943D-BF4EFDC3D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9600" y="409575"/>
          <a:ext cx="1696825" cy="723175"/>
        </a:xfrm>
        <a:prstGeom prst="rect">
          <a:avLst/>
        </a:prstGeom>
      </xdr:spPr>
    </xdr:pic>
    <xdr:clientData/>
  </xdr:twoCellAnchor>
  <xdr:twoCellAnchor>
    <xdr:from>
      <xdr:col>0</xdr:col>
      <xdr:colOff>152400</xdr:colOff>
      <xdr:row>1</xdr:row>
      <xdr:rowOff>152400</xdr:rowOff>
    </xdr:from>
    <xdr:to>
      <xdr:col>2</xdr:col>
      <xdr:colOff>978900</xdr:colOff>
      <xdr:row>4</xdr:row>
      <xdr:rowOff>47624</xdr:rowOff>
    </xdr:to>
    <xdr:sp macro="" textlink="">
      <xdr:nvSpPr>
        <xdr:cNvPr id="6" name="784 CuadroTexto">
          <a:extLst>
            <a:ext uri="{FF2B5EF4-FFF2-40B4-BE49-F238E27FC236}">
              <a16:creationId xmlns:a16="http://schemas.microsoft.com/office/drawing/2014/main" id="{B8386D9D-29BA-4CB2-A725-17F107AEAAAC}"/>
            </a:ext>
          </a:extLst>
        </xdr:cNvPr>
        <xdr:cNvSpPr txBox="1"/>
      </xdr:nvSpPr>
      <xdr:spPr>
        <a:xfrm>
          <a:off x="152400" y="504825"/>
          <a:ext cx="2160000" cy="590549"/>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36000" bIns="0" rtlCol="0" anchor="ctr" anchorCtr="0"/>
        <a:lstStyle/>
        <a:p>
          <a:pPr algn="l"/>
          <a:r>
            <a:rPr lang="es-CL" sz="1000"/>
            <a:t>FECHA	30-03-2016</a:t>
          </a:r>
        </a:p>
        <a:p>
          <a:pPr algn="l"/>
          <a:r>
            <a:rPr lang="es-CL" sz="1000"/>
            <a:t>DOC	R-B.V.C-TRA-001</a:t>
          </a:r>
        </a:p>
        <a:p>
          <a:pPr algn="l"/>
          <a:r>
            <a:rPr lang="es-CL" sz="1000"/>
            <a:t>REV	01</a:t>
          </a:r>
        </a:p>
      </xdr:txBody>
    </xdr:sp>
    <xdr:clientData/>
  </xdr:twoCellAnchor>
  <xdr:twoCellAnchor editAs="oneCell">
    <xdr:from>
      <xdr:col>1</xdr:col>
      <xdr:colOff>0</xdr:colOff>
      <xdr:row>15</xdr:row>
      <xdr:rowOff>38100</xdr:rowOff>
    </xdr:from>
    <xdr:to>
      <xdr:col>5</xdr:col>
      <xdr:colOff>596900</xdr:colOff>
      <xdr:row>15</xdr:row>
      <xdr:rowOff>925513</xdr:rowOff>
    </xdr:to>
    <xdr:pic>
      <xdr:nvPicPr>
        <xdr:cNvPr id="10" name="Imagen 9">
          <a:extLst>
            <a:ext uri="{FF2B5EF4-FFF2-40B4-BE49-F238E27FC236}">
              <a16:creationId xmlns:a16="http://schemas.microsoft.com/office/drawing/2014/main" id="{825ECBC3-F463-4916-A8E4-49EDD16F6136}"/>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3067050"/>
          <a:ext cx="4695825" cy="890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ntrolador.sser@efesur.cl" TargetMode="External"/><Relationship Id="rId7" Type="http://schemas.openxmlformats.org/officeDocument/2006/relationships/drawing" Target="../drawings/drawing1.xml"/><Relationship Id="rId2" Type="http://schemas.openxmlformats.org/officeDocument/2006/relationships/hyperlink" Target="mailto:despacho.electrico@efesur.cl" TargetMode="External"/><Relationship Id="rId1" Type="http://schemas.openxmlformats.org/officeDocument/2006/relationships/hyperlink" Target="mailto:ct.con@efesur.cl" TargetMode="External"/><Relationship Id="rId6" Type="http://schemas.openxmlformats.org/officeDocument/2006/relationships/printerSettings" Target="../printerSettings/printerSettings1.bin"/><Relationship Id="rId5" Type="http://schemas.openxmlformats.org/officeDocument/2006/relationships/hyperlink" Target="mailto:operador.concepcion@efesur.cl" TargetMode="External"/><Relationship Id="rId4" Type="http://schemas.openxmlformats.org/officeDocument/2006/relationships/hyperlink" Target="mailto:ct.con@efesur.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4"/>
  <sheetViews>
    <sheetView showGridLines="0" tabSelected="1" zoomScaleNormal="100" workbookViewId="0">
      <selection activeCell="H4" sqref="H4"/>
    </sheetView>
  </sheetViews>
  <sheetFormatPr baseColWidth="10" defaultColWidth="9.140625" defaultRowHeight="15" x14ac:dyDescent="0.25"/>
  <cols>
    <col min="1" max="1" width="4.28515625" style="1" customWidth="1"/>
    <col min="2" max="3" width="15.7109375" style="1" customWidth="1"/>
    <col min="4" max="4" width="18.5703125" style="1" customWidth="1"/>
    <col min="5" max="6" width="11.42578125" style="36" customWidth="1"/>
    <col min="7" max="7" width="25" style="1" customWidth="1"/>
    <col min="8" max="8" width="61.140625" style="1" customWidth="1"/>
    <col min="9" max="10" width="8.5703125" style="1" customWidth="1"/>
    <col min="11" max="12" width="8.7109375" style="1" customWidth="1"/>
    <col min="13" max="13" width="18.5703125" style="1" customWidth="1"/>
    <col min="14" max="16384" width="9.140625" style="1"/>
  </cols>
  <sheetData>
    <row r="1" spans="1:13" ht="27.75" customHeight="1" thickBot="1" x14ac:dyDescent="0.3">
      <c r="A1" s="21"/>
      <c r="B1" s="22"/>
      <c r="C1" s="22"/>
      <c r="D1" s="22"/>
      <c r="E1" s="135" t="s">
        <v>23</v>
      </c>
      <c r="F1" s="135"/>
      <c r="G1" s="135"/>
      <c r="H1" s="135"/>
      <c r="I1" s="22"/>
      <c r="J1" s="129">
        <v>46322</v>
      </c>
      <c r="K1" s="129"/>
      <c r="L1" s="129"/>
      <c r="M1" s="130"/>
    </row>
    <row r="2" spans="1:13" ht="13.5" customHeight="1" thickTop="1" x14ac:dyDescent="0.25">
      <c r="A2" s="131"/>
      <c r="B2" s="132"/>
      <c r="C2" s="19"/>
      <c r="D2" s="16"/>
      <c r="E2" s="32"/>
      <c r="F2" s="72"/>
      <c r="G2" s="17"/>
      <c r="H2" s="73"/>
      <c r="I2" s="133"/>
      <c r="J2" s="133"/>
      <c r="K2" s="133"/>
      <c r="L2" s="133"/>
      <c r="M2" s="134"/>
    </row>
    <row r="3" spans="1:13" ht="18" customHeight="1" x14ac:dyDescent="0.25">
      <c r="A3" s="137"/>
      <c r="B3" s="138"/>
      <c r="C3" s="74"/>
      <c r="D3" s="75"/>
      <c r="E3" s="136" t="s">
        <v>22</v>
      </c>
      <c r="F3" s="136"/>
      <c r="G3" s="30" t="s">
        <v>21</v>
      </c>
      <c r="H3" s="30" t="s">
        <v>20</v>
      </c>
      <c r="I3" s="67"/>
      <c r="J3" s="76"/>
      <c r="K3" s="76"/>
      <c r="L3" s="76"/>
      <c r="M3" s="23"/>
    </row>
    <row r="4" spans="1:13" ht="23.25" x14ac:dyDescent="0.35">
      <c r="A4" s="139"/>
      <c r="B4" s="140"/>
      <c r="C4" s="77"/>
      <c r="D4" s="78"/>
      <c r="E4" s="147">
        <f ca="1">TODAY()</f>
        <v>46321</v>
      </c>
      <c r="F4" s="147"/>
      <c r="G4" s="31">
        <v>300</v>
      </c>
      <c r="H4" s="18" t="s">
        <v>181</v>
      </c>
      <c r="I4" s="79"/>
      <c r="J4" s="79"/>
      <c r="K4" s="79"/>
      <c r="L4" s="79"/>
      <c r="M4" s="24"/>
    </row>
    <row r="5" spans="1:13" ht="7.5" customHeight="1" x14ac:dyDescent="0.25">
      <c r="A5" s="141"/>
      <c r="B5" s="142"/>
      <c r="C5" s="80"/>
      <c r="D5" s="81"/>
      <c r="E5" s="82"/>
      <c r="F5" s="82"/>
      <c r="G5" s="81"/>
      <c r="H5" s="81"/>
      <c r="I5" s="81"/>
      <c r="J5" s="81"/>
      <c r="K5" s="81"/>
      <c r="L5" s="81"/>
      <c r="M5" s="25"/>
    </row>
    <row r="6" spans="1:13" s="47" customFormat="1" ht="18.75" customHeight="1" x14ac:dyDescent="0.25">
      <c r="A6" s="43"/>
      <c r="B6" s="83"/>
      <c r="C6" s="148" t="s">
        <v>25</v>
      </c>
      <c r="D6" s="148"/>
      <c r="E6" s="84"/>
      <c r="F6" s="148" t="s">
        <v>28</v>
      </c>
      <c r="G6" s="148"/>
      <c r="H6" s="85" t="s">
        <v>29</v>
      </c>
      <c r="I6" s="148" t="s">
        <v>30</v>
      </c>
      <c r="J6" s="148"/>
      <c r="K6" s="148"/>
      <c r="L6" s="148"/>
      <c r="M6" s="46"/>
    </row>
    <row r="7" spans="1:13" s="49" customFormat="1" ht="12.75" customHeight="1" x14ac:dyDescent="0.25">
      <c r="A7" s="44"/>
      <c r="B7" s="86"/>
      <c r="C7" s="151" t="s">
        <v>26</v>
      </c>
      <c r="D7" s="151"/>
      <c r="E7" s="87"/>
      <c r="F7" s="151" t="s">
        <v>31</v>
      </c>
      <c r="G7" s="151"/>
      <c r="H7" s="88" t="s">
        <v>35</v>
      </c>
      <c r="I7" s="149" t="s">
        <v>42</v>
      </c>
      <c r="J7" s="149"/>
      <c r="K7" s="149"/>
      <c r="L7" s="149"/>
      <c r="M7" s="48"/>
    </row>
    <row r="8" spans="1:13" s="49" customFormat="1" ht="12.75" customHeight="1" x14ac:dyDescent="0.25">
      <c r="A8" s="44"/>
      <c r="B8" s="86"/>
      <c r="C8" s="149" t="s">
        <v>43</v>
      </c>
      <c r="D8" s="149"/>
      <c r="E8" s="86"/>
      <c r="F8" s="149" t="s">
        <v>44</v>
      </c>
      <c r="G8" s="149"/>
      <c r="H8" s="89" t="s">
        <v>32</v>
      </c>
      <c r="I8" s="150" t="s">
        <v>33</v>
      </c>
      <c r="J8" s="150"/>
      <c r="K8" s="150"/>
      <c r="L8" s="150"/>
      <c r="M8" s="48"/>
    </row>
    <row r="9" spans="1:13" s="49" customFormat="1" ht="12.75" customHeight="1" x14ac:dyDescent="0.25">
      <c r="A9" s="44"/>
      <c r="B9" s="90"/>
      <c r="C9" s="150" t="s">
        <v>27</v>
      </c>
      <c r="D9" s="150"/>
      <c r="E9" s="91"/>
      <c r="F9" s="150" t="s">
        <v>45</v>
      </c>
      <c r="G9" s="164"/>
      <c r="H9" s="89"/>
      <c r="I9" s="92"/>
      <c r="J9" s="92"/>
      <c r="K9" s="92"/>
      <c r="L9" s="92"/>
      <c r="M9" s="48"/>
    </row>
    <row r="10" spans="1:13" s="47" customFormat="1" ht="21.75" customHeight="1" x14ac:dyDescent="0.25">
      <c r="A10" s="44"/>
      <c r="B10" s="45"/>
      <c r="C10" s="148" t="s">
        <v>36</v>
      </c>
      <c r="D10" s="148"/>
      <c r="E10" s="93"/>
      <c r="F10" s="148" t="s">
        <v>38</v>
      </c>
      <c r="G10" s="148"/>
      <c r="H10" s="85" t="s">
        <v>13</v>
      </c>
      <c r="I10" s="85"/>
      <c r="J10" s="94"/>
      <c r="K10" s="94"/>
      <c r="L10" s="94"/>
      <c r="M10" s="46"/>
    </row>
    <row r="11" spans="1:13" s="47" customFormat="1" ht="12.75" customHeight="1" x14ac:dyDescent="0.25">
      <c r="A11" s="44"/>
      <c r="B11" s="45"/>
      <c r="C11" s="151" t="s">
        <v>41</v>
      </c>
      <c r="D11" s="151"/>
      <c r="E11" s="93"/>
      <c r="F11" s="151" t="s">
        <v>40</v>
      </c>
      <c r="G11" s="151"/>
      <c r="H11" s="95" t="s">
        <v>14</v>
      </c>
      <c r="I11" s="95"/>
      <c r="J11" s="94"/>
      <c r="K11" s="94"/>
      <c r="L11" s="94"/>
      <c r="M11" s="46"/>
    </row>
    <row r="12" spans="1:13" s="47" customFormat="1" ht="12.75" customHeight="1" x14ac:dyDescent="0.25">
      <c r="A12" s="44"/>
      <c r="B12" s="45"/>
      <c r="C12" s="149" t="s">
        <v>37</v>
      </c>
      <c r="D12" s="149"/>
      <c r="E12" s="93"/>
      <c r="F12" s="149" t="s">
        <v>39</v>
      </c>
      <c r="G12" s="149"/>
      <c r="H12" s="88" t="s">
        <v>34</v>
      </c>
      <c r="I12" s="96"/>
      <c r="J12" s="94"/>
      <c r="K12" s="94"/>
      <c r="L12" s="94"/>
      <c r="M12" s="46"/>
    </row>
    <row r="13" spans="1:13" s="47" customFormat="1" ht="9" customHeight="1" thickBot="1" x14ac:dyDescent="0.3">
      <c r="A13" s="97"/>
      <c r="B13" s="42"/>
      <c r="C13" s="20"/>
      <c r="D13" s="98"/>
      <c r="E13" s="99"/>
      <c r="F13" s="99"/>
      <c r="G13" s="98"/>
      <c r="H13" s="98"/>
      <c r="I13" s="98"/>
      <c r="J13" s="98"/>
      <c r="K13" s="98"/>
      <c r="L13" s="98"/>
      <c r="M13" s="100"/>
    </row>
    <row r="14" spans="1:13" ht="22.5" customHeight="1" thickBot="1" x14ac:dyDescent="0.3">
      <c r="A14" s="39"/>
      <c r="B14" s="40"/>
      <c r="C14" s="40"/>
      <c r="D14" s="104" t="s">
        <v>47</v>
      </c>
      <c r="E14" s="104"/>
      <c r="F14" s="104"/>
      <c r="G14" s="104"/>
      <c r="H14" s="104"/>
      <c r="I14" s="104"/>
      <c r="J14" s="104"/>
      <c r="K14" s="40"/>
      <c r="L14" s="40"/>
      <c r="M14" s="41"/>
    </row>
    <row r="15" spans="1:13" s="47" customFormat="1" ht="15.75" customHeight="1" x14ac:dyDescent="0.25">
      <c r="A15" s="59"/>
      <c r="B15" s="64" t="s">
        <v>48</v>
      </c>
      <c r="C15" s="65"/>
      <c r="D15" s="64"/>
      <c r="E15" s="66"/>
      <c r="F15" s="66"/>
      <c r="G15" s="64"/>
      <c r="H15" s="111" t="s">
        <v>49</v>
      </c>
      <c r="I15" s="111"/>
      <c r="J15" s="111"/>
      <c r="K15" s="111"/>
      <c r="L15" s="111"/>
      <c r="M15" s="112"/>
    </row>
    <row r="16" spans="1:13" ht="78.75" customHeight="1" thickBot="1" x14ac:dyDescent="0.3">
      <c r="A16" s="60"/>
      <c r="B16" s="61"/>
      <c r="C16" s="20"/>
      <c r="D16" s="61"/>
      <c r="E16" s="62"/>
      <c r="F16" s="62"/>
      <c r="G16" s="63"/>
      <c r="H16" s="113"/>
      <c r="I16" s="113"/>
      <c r="J16" s="113"/>
      <c r="K16" s="113"/>
      <c r="L16" s="113"/>
      <c r="M16" s="114"/>
    </row>
    <row r="17" spans="1:13" s="47" customFormat="1" ht="30" customHeight="1" thickBot="1" x14ac:dyDescent="0.3">
      <c r="A17" s="105" t="s">
        <v>46</v>
      </c>
      <c r="B17" s="106"/>
      <c r="C17" s="106"/>
      <c r="D17" s="106"/>
      <c r="E17" s="106"/>
      <c r="F17" s="106"/>
      <c r="G17" s="106"/>
      <c r="H17" s="106"/>
      <c r="I17" s="106"/>
      <c r="J17" s="106"/>
      <c r="K17" s="106"/>
      <c r="L17" s="106"/>
      <c r="M17" s="107"/>
    </row>
    <row r="18" spans="1:13" s="47" customFormat="1" ht="30" customHeight="1" thickBot="1" x14ac:dyDescent="0.3">
      <c r="A18" s="108" t="s">
        <v>52</v>
      </c>
      <c r="B18" s="109"/>
      <c r="C18" s="109"/>
      <c r="D18" s="109"/>
      <c r="E18" s="109"/>
      <c r="F18" s="109"/>
      <c r="G18" s="109"/>
      <c r="H18" s="109"/>
      <c r="I18" s="109"/>
      <c r="J18" s="109"/>
      <c r="K18" s="109"/>
      <c r="L18" s="109"/>
      <c r="M18" s="110"/>
    </row>
    <row r="19" spans="1:13" ht="67.5" customHeight="1" thickBot="1" x14ac:dyDescent="0.3">
      <c r="A19" s="101" t="s">
        <v>51</v>
      </c>
      <c r="B19" s="102"/>
      <c r="C19" s="102"/>
      <c r="D19" s="102"/>
      <c r="E19" s="102"/>
      <c r="F19" s="102"/>
      <c r="G19" s="102"/>
      <c r="H19" s="102"/>
      <c r="I19" s="102"/>
      <c r="J19" s="102"/>
      <c r="K19" s="102"/>
      <c r="L19" s="102"/>
      <c r="M19" s="103"/>
    </row>
    <row r="20" spans="1:13" ht="4.5" customHeight="1" thickBot="1" x14ac:dyDescent="0.3">
      <c r="A20" s="50"/>
      <c r="B20" s="51"/>
      <c r="C20" s="52"/>
      <c r="D20" s="52"/>
      <c r="E20" s="53"/>
      <c r="F20" s="53"/>
      <c r="G20" s="52"/>
      <c r="H20" s="52"/>
      <c r="I20" s="54"/>
      <c r="J20" s="54"/>
      <c r="K20" s="55"/>
      <c r="L20" s="55"/>
      <c r="M20" s="56"/>
    </row>
    <row r="21" spans="1:13" ht="22.5" customHeight="1" thickBot="1" x14ac:dyDescent="0.3">
      <c r="A21" s="39"/>
      <c r="B21" s="40"/>
      <c r="C21" s="40"/>
      <c r="D21" s="104" t="s">
        <v>9</v>
      </c>
      <c r="E21" s="104"/>
      <c r="F21" s="104"/>
      <c r="G21" s="104"/>
      <c r="H21" s="104"/>
      <c r="I21" s="104"/>
      <c r="J21" s="104"/>
      <c r="K21" s="40"/>
      <c r="L21" s="40"/>
      <c r="M21" s="41"/>
    </row>
    <row r="22" spans="1:13" ht="18" customHeight="1" x14ac:dyDescent="0.25">
      <c r="A22" s="143" t="s">
        <v>5</v>
      </c>
      <c r="B22" s="159" t="s">
        <v>0</v>
      </c>
      <c r="C22" s="160"/>
      <c r="D22" s="145" t="s">
        <v>11</v>
      </c>
      <c r="E22" s="115" t="s">
        <v>6</v>
      </c>
      <c r="F22" s="116"/>
      <c r="G22" s="145" t="s">
        <v>18</v>
      </c>
      <c r="H22" s="145" t="s">
        <v>7</v>
      </c>
      <c r="I22" s="156" t="s">
        <v>3</v>
      </c>
      <c r="J22" s="157"/>
      <c r="K22" s="158" t="s">
        <v>4</v>
      </c>
      <c r="L22" s="157"/>
      <c r="M22" s="152" t="s">
        <v>15</v>
      </c>
    </row>
    <row r="23" spans="1:13" ht="18" customHeight="1" x14ac:dyDescent="0.25">
      <c r="A23" s="144"/>
      <c r="B23" s="8" t="s">
        <v>1</v>
      </c>
      <c r="C23" s="8" t="s">
        <v>2</v>
      </c>
      <c r="D23" s="146"/>
      <c r="E23" s="33" t="s">
        <v>1</v>
      </c>
      <c r="F23" s="33" t="s">
        <v>2</v>
      </c>
      <c r="G23" s="146"/>
      <c r="H23" s="146"/>
      <c r="I23" s="14" t="s">
        <v>8</v>
      </c>
      <c r="J23" s="15" t="s">
        <v>17</v>
      </c>
      <c r="K23" s="15" t="s">
        <v>8</v>
      </c>
      <c r="L23" s="15" t="s">
        <v>17</v>
      </c>
      <c r="M23" s="153"/>
    </row>
    <row r="24" spans="1:13" ht="30" x14ac:dyDescent="0.25">
      <c r="A24" s="26" cm="1">
        <f t="array" aca="1" ref="A2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v>
      </c>
      <c r="B24" s="11" t="s">
        <v>53</v>
      </c>
      <c r="C24" s="10" t="s">
        <v>54</v>
      </c>
      <c r="D24" s="10" t="s">
        <v>55</v>
      </c>
      <c r="E24" s="34" t="s">
        <v>56</v>
      </c>
      <c r="F24" s="34" t="s">
        <v>57</v>
      </c>
      <c r="G24" s="10" t="s">
        <v>58</v>
      </c>
      <c r="H24" s="10" t="s">
        <v>59</v>
      </c>
      <c r="I24" s="12">
        <v>0</v>
      </c>
      <c r="J24" s="12">
        <v>0.99930555555555556</v>
      </c>
      <c r="K24" s="13">
        <v>46275</v>
      </c>
      <c r="L24" s="13" t="s">
        <v>60</v>
      </c>
      <c r="M24" s="27" t="s">
        <v>61</v>
      </c>
    </row>
    <row r="25" spans="1:13" ht="30" x14ac:dyDescent="0.25">
      <c r="A25" s="26" cm="1">
        <f t="array" aca="1" ref="A2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v>
      </c>
      <c r="B25" s="38" t="s">
        <v>53</v>
      </c>
      <c r="C25" s="10" t="s">
        <v>54</v>
      </c>
      <c r="D25" s="10" t="s">
        <v>62</v>
      </c>
      <c r="E25" s="34" t="s">
        <v>63</v>
      </c>
      <c r="F25" s="34" t="s">
        <v>64</v>
      </c>
      <c r="G25" s="10" t="s">
        <v>65</v>
      </c>
      <c r="H25" s="10" t="s">
        <v>66</v>
      </c>
      <c r="I25" s="12">
        <v>0</v>
      </c>
      <c r="J25" s="12">
        <v>0.99930555555555556</v>
      </c>
      <c r="K25" s="13">
        <v>45869</v>
      </c>
      <c r="L25" s="13" t="s">
        <v>60</v>
      </c>
      <c r="M25" s="27" t="s">
        <v>67</v>
      </c>
    </row>
    <row r="26" spans="1:13" ht="30" x14ac:dyDescent="0.25">
      <c r="A26" s="26" cm="1">
        <f t="array" aca="1" ref="A2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v>
      </c>
      <c r="B26" s="11" t="s">
        <v>53</v>
      </c>
      <c r="C26" s="10" t="s">
        <v>54</v>
      </c>
      <c r="D26" s="10" t="s">
        <v>55</v>
      </c>
      <c r="E26" s="34" t="s">
        <v>68</v>
      </c>
      <c r="F26" s="34" t="s">
        <v>69</v>
      </c>
      <c r="G26" s="10" t="s">
        <v>58</v>
      </c>
      <c r="H26" s="10" t="s">
        <v>59</v>
      </c>
      <c r="I26" s="12">
        <v>0</v>
      </c>
      <c r="J26" s="12">
        <v>0.99930555555555556</v>
      </c>
      <c r="K26" s="13">
        <v>46275</v>
      </c>
      <c r="L26" s="13" t="s">
        <v>60</v>
      </c>
      <c r="M26" s="27" t="s">
        <v>61</v>
      </c>
    </row>
    <row r="27" spans="1:13" ht="45" x14ac:dyDescent="0.25">
      <c r="A27" s="26" cm="1">
        <f t="array" aca="1" ref="A2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4</v>
      </c>
      <c r="B27" s="11" t="s">
        <v>53</v>
      </c>
      <c r="C27" s="10" t="s">
        <v>54</v>
      </c>
      <c r="D27" s="10" t="s">
        <v>62</v>
      </c>
      <c r="E27" s="34" t="s">
        <v>70</v>
      </c>
      <c r="F27" s="34" t="s">
        <v>71</v>
      </c>
      <c r="G27" s="10" t="s">
        <v>72</v>
      </c>
      <c r="H27" s="10" t="s">
        <v>73</v>
      </c>
      <c r="I27" s="12">
        <v>0.375</v>
      </c>
      <c r="J27" s="12">
        <v>0.54166666666666663</v>
      </c>
      <c r="K27" s="13">
        <v>46322</v>
      </c>
      <c r="L27" s="13">
        <v>46322</v>
      </c>
      <c r="M27" s="27" t="s">
        <v>74</v>
      </c>
    </row>
    <row r="28" spans="1:13" ht="30" x14ac:dyDescent="0.25">
      <c r="A28" s="26" cm="1">
        <f t="array" aca="1" ref="A2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5</v>
      </c>
      <c r="B28" s="11" t="s">
        <v>54</v>
      </c>
      <c r="C28" s="10" t="s">
        <v>54</v>
      </c>
      <c r="D28" s="10" t="s">
        <v>75</v>
      </c>
      <c r="E28" s="34" t="s">
        <v>76</v>
      </c>
      <c r="F28" s="34" t="s">
        <v>69</v>
      </c>
      <c r="G28" s="10" t="s">
        <v>77</v>
      </c>
      <c r="H28" s="10" t="s">
        <v>78</v>
      </c>
      <c r="I28" s="12">
        <v>0</v>
      </c>
      <c r="J28" s="12">
        <v>0.99930555555555556</v>
      </c>
      <c r="K28" s="13">
        <v>43999</v>
      </c>
      <c r="L28" s="13" t="s">
        <v>60</v>
      </c>
      <c r="M28" s="27" t="s">
        <v>79</v>
      </c>
    </row>
    <row r="29" spans="1:13" ht="45" x14ac:dyDescent="0.25">
      <c r="A29" s="26" cm="1">
        <f t="array" aca="1" ref="A2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6</v>
      </c>
      <c r="B29" s="11" t="s">
        <v>54</v>
      </c>
      <c r="C29" s="10" t="s">
        <v>54</v>
      </c>
      <c r="D29" s="10" t="s">
        <v>80</v>
      </c>
      <c r="E29" s="34" t="s">
        <v>81</v>
      </c>
      <c r="F29" s="34" t="s">
        <v>82</v>
      </c>
      <c r="G29" s="10" t="s">
        <v>83</v>
      </c>
      <c r="H29" s="10" t="s">
        <v>84</v>
      </c>
      <c r="I29" s="12">
        <v>0</v>
      </c>
      <c r="J29" s="12">
        <v>0.99930555555555556</v>
      </c>
      <c r="K29" s="13">
        <v>45294</v>
      </c>
      <c r="L29" s="13" t="s">
        <v>60</v>
      </c>
      <c r="M29" s="27" t="s">
        <v>85</v>
      </c>
    </row>
    <row r="30" spans="1:13" ht="45" x14ac:dyDescent="0.25">
      <c r="A30" s="26" cm="1">
        <f t="array" aca="1" ref="A3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7</v>
      </c>
      <c r="B30" s="11" t="s">
        <v>54</v>
      </c>
      <c r="C30" s="10" t="s">
        <v>54</v>
      </c>
      <c r="D30" s="10" t="s">
        <v>86</v>
      </c>
      <c r="E30" s="34" t="s">
        <v>87</v>
      </c>
      <c r="F30" s="34" t="s">
        <v>88</v>
      </c>
      <c r="G30" s="10" t="s">
        <v>60</v>
      </c>
      <c r="H30" s="10" t="s">
        <v>89</v>
      </c>
      <c r="I30" s="12">
        <v>0</v>
      </c>
      <c r="J30" s="12">
        <v>0.99930555555555556</v>
      </c>
      <c r="K30" s="13">
        <v>46287</v>
      </c>
      <c r="L30" s="13" t="s">
        <v>60</v>
      </c>
      <c r="M30" s="27" t="s">
        <v>67</v>
      </c>
    </row>
    <row r="31" spans="1:13" ht="30" x14ac:dyDescent="0.25">
      <c r="A31" s="26" cm="1">
        <f t="array" aca="1" ref="A3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8</v>
      </c>
      <c r="B31" s="11" t="s">
        <v>54</v>
      </c>
      <c r="C31" s="10" t="s">
        <v>90</v>
      </c>
      <c r="D31" s="10" t="s">
        <v>62</v>
      </c>
      <c r="E31" s="34" t="s">
        <v>91</v>
      </c>
      <c r="F31" s="34" t="s">
        <v>92</v>
      </c>
      <c r="G31" s="10" t="s">
        <v>93</v>
      </c>
      <c r="H31" s="10" t="s">
        <v>94</v>
      </c>
      <c r="I31" s="12">
        <v>0</v>
      </c>
      <c r="J31" s="12">
        <v>0.99930555555555556</v>
      </c>
      <c r="K31" s="13">
        <v>46254</v>
      </c>
      <c r="L31" s="13" t="s">
        <v>60</v>
      </c>
      <c r="M31" s="27" t="s">
        <v>95</v>
      </c>
    </row>
    <row r="32" spans="1:13" ht="30" x14ac:dyDescent="0.25">
      <c r="A32" s="26" cm="1">
        <f t="array" aca="1" ref="A3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9</v>
      </c>
      <c r="B32" s="11" t="s">
        <v>54</v>
      </c>
      <c r="C32" s="10" t="s">
        <v>90</v>
      </c>
      <c r="D32" s="10" t="s">
        <v>55</v>
      </c>
      <c r="E32" s="34" t="s">
        <v>96</v>
      </c>
      <c r="F32" s="34" t="s">
        <v>97</v>
      </c>
      <c r="G32" s="10" t="s">
        <v>58</v>
      </c>
      <c r="H32" s="10" t="s">
        <v>59</v>
      </c>
      <c r="I32" s="12">
        <v>0</v>
      </c>
      <c r="J32" s="12">
        <v>0.99930555555555556</v>
      </c>
      <c r="K32" s="13">
        <v>46275</v>
      </c>
      <c r="L32" s="13" t="s">
        <v>60</v>
      </c>
      <c r="M32" s="27" t="s">
        <v>61</v>
      </c>
    </row>
    <row r="33" spans="1:13" ht="45" x14ac:dyDescent="0.25">
      <c r="A33" s="26" cm="1">
        <f t="array" aca="1" ref="A3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10</v>
      </c>
      <c r="B33" s="11" t="s">
        <v>54</v>
      </c>
      <c r="C33" s="10" t="s">
        <v>90</v>
      </c>
      <c r="D33" s="10" t="s">
        <v>98</v>
      </c>
      <c r="E33" s="34" t="s">
        <v>99</v>
      </c>
      <c r="F33" s="34" t="s">
        <v>100</v>
      </c>
      <c r="G33" s="10" t="s">
        <v>72</v>
      </c>
      <c r="H33" s="10" t="s">
        <v>101</v>
      </c>
      <c r="I33" s="12">
        <v>0.41666666666666669</v>
      </c>
      <c r="J33" s="12">
        <v>0.54166666666666663</v>
      </c>
      <c r="K33" s="13">
        <v>46322</v>
      </c>
      <c r="L33" s="13">
        <v>46322</v>
      </c>
      <c r="M33" s="27" t="s">
        <v>102</v>
      </c>
    </row>
    <row r="34" spans="1:13" ht="45" x14ac:dyDescent="0.25">
      <c r="A34" s="26" cm="1">
        <f t="array" aca="1" ref="A3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11</v>
      </c>
      <c r="B34" s="11" t="s">
        <v>54</v>
      </c>
      <c r="C34" s="10" t="s">
        <v>90</v>
      </c>
      <c r="D34" s="10" t="s">
        <v>98</v>
      </c>
      <c r="E34" s="34" t="s">
        <v>100</v>
      </c>
      <c r="F34" s="34" t="s">
        <v>103</v>
      </c>
      <c r="G34" s="10" t="s">
        <v>72</v>
      </c>
      <c r="H34" s="10" t="s">
        <v>101</v>
      </c>
      <c r="I34" s="12">
        <v>0.66666666666666663</v>
      </c>
      <c r="J34" s="12">
        <v>0.83333333333333337</v>
      </c>
      <c r="K34" s="13">
        <v>46322</v>
      </c>
      <c r="L34" s="13">
        <v>46322</v>
      </c>
      <c r="M34" s="27" t="s">
        <v>102</v>
      </c>
    </row>
    <row r="35" spans="1:13" ht="60" x14ac:dyDescent="0.25">
      <c r="A35" s="26" cm="1">
        <f t="array" aca="1" ref="A3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12</v>
      </c>
      <c r="B35" s="11" t="s">
        <v>90</v>
      </c>
      <c r="C35" s="10" t="s">
        <v>90</v>
      </c>
      <c r="D35" s="10" t="s">
        <v>80</v>
      </c>
      <c r="E35" s="34" t="s">
        <v>104</v>
      </c>
      <c r="F35" s="34" t="s">
        <v>105</v>
      </c>
      <c r="G35" s="10" t="s">
        <v>83</v>
      </c>
      <c r="H35" s="10" t="s">
        <v>106</v>
      </c>
      <c r="I35" s="12">
        <v>0</v>
      </c>
      <c r="J35" s="12">
        <v>0.99930555555555556</v>
      </c>
      <c r="K35" s="13">
        <v>45064</v>
      </c>
      <c r="L35" s="13" t="s">
        <v>60</v>
      </c>
      <c r="M35" s="27" t="s">
        <v>85</v>
      </c>
    </row>
    <row r="36" spans="1:13" ht="30" x14ac:dyDescent="0.25">
      <c r="A36" s="26" cm="1">
        <f t="array" aca="1" ref="A3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13</v>
      </c>
      <c r="B36" s="11" t="s">
        <v>90</v>
      </c>
      <c r="C36" s="10" t="s">
        <v>90</v>
      </c>
      <c r="D36" s="10" t="s">
        <v>55</v>
      </c>
      <c r="E36" s="34" t="s">
        <v>107</v>
      </c>
      <c r="F36" s="34" t="s">
        <v>108</v>
      </c>
      <c r="G36" s="10" t="s">
        <v>109</v>
      </c>
      <c r="H36" s="10" t="s">
        <v>110</v>
      </c>
      <c r="I36" s="12">
        <v>0</v>
      </c>
      <c r="J36" s="12">
        <v>0.99930555555555556</v>
      </c>
      <c r="K36" s="13">
        <v>46275</v>
      </c>
      <c r="L36" s="13" t="s">
        <v>60</v>
      </c>
      <c r="M36" s="27" t="s">
        <v>79</v>
      </c>
    </row>
    <row r="37" spans="1:13" ht="30" x14ac:dyDescent="0.25">
      <c r="A37" s="26" cm="1">
        <f t="array" aca="1" ref="A3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14</v>
      </c>
      <c r="B37" s="11" t="s">
        <v>90</v>
      </c>
      <c r="C37" s="10" t="s">
        <v>90</v>
      </c>
      <c r="D37" s="10" t="s">
        <v>55</v>
      </c>
      <c r="E37" s="34" t="s">
        <v>111</v>
      </c>
      <c r="F37" s="34" t="s">
        <v>112</v>
      </c>
      <c r="G37" s="10" t="s">
        <v>113</v>
      </c>
      <c r="H37" s="10" t="s">
        <v>114</v>
      </c>
      <c r="I37" s="12">
        <v>0</v>
      </c>
      <c r="J37" s="12">
        <v>0.99930555555555556</v>
      </c>
      <c r="K37" s="13">
        <v>46274</v>
      </c>
      <c r="L37" s="13" t="s">
        <v>60</v>
      </c>
      <c r="M37" s="27" t="s">
        <v>61</v>
      </c>
    </row>
    <row r="38" spans="1:13" ht="45" x14ac:dyDescent="0.25">
      <c r="A38" s="26" cm="1">
        <f t="array" aca="1" ref="A3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15</v>
      </c>
      <c r="B38" s="11" t="s">
        <v>115</v>
      </c>
      <c r="C38" s="10" t="s">
        <v>115</v>
      </c>
      <c r="D38" s="10" t="s">
        <v>80</v>
      </c>
      <c r="E38" s="34" t="s">
        <v>116</v>
      </c>
      <c r="F38" s="34" t="s">
        <v>117</v>
      </c>
      <c r="G38" s="10" t="s">
        <v>83</v>
      </c>
      <c r="H38" s="10" t="s">
        <v>118</v>
      </c>
      <c r="I38" s="12">
        <v>0</v>
      </c>
      <c r="J38" s="12">
        <v>0.99930555555555556</v>
      </c>
      <c r="K38" s="13">
        <v>45294</v>
      </c>
      <c r="L38" s="13" t="s">
        <v>60</v>
      </c>
      <c r="M38" s="27" t="s">
        <v>85</v>
      </c>
    </row>
    <row r="39" spans="1:13" ht="30" x14ac:dyDescent="0.25">
      <c r="A39" s="26" cm="1">
        <f t="array" aca="1" ref="A3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16</v>
      </c>
      <c r="B39" s="11" t="s">
        <v>115</v>
      </c>
      <c r="C39" s="10" t="s">
        <v>119</v>
      </c>
      <c r="D39" s="10" t="s">
        <v>62</v>
      </c>
      <c r="E39" s="34" t="s">
        <v>120</v>
      </c>
      <c r="F39" s="34" t="s">
        <v>121</v>
      </c>
      <c r="G39" s="10" t="s">
        <v>93</v>
      </c>
      <c r="H39" s="10" t="s">
        <v>94</v>
      </c>
      <c r="I39" s="12">
        <v>0</v>
      </c>
      <c r="J39" s="12">
        <v>0.99930555555555556</v>
      </c>
      <c r="K39" s="13">
        <v>44524</v>
      </c>
      <c r="L39" s="13" t="s">
        <v>60</v>
      </c>
      <c r="M39" s="27" t="s">
        <v>85</v>
      </c>
    </row>
    <row r="40" spans="1:13" x14ac:dyDescent="0.25">
      <c r="A40" s="26" cm="1">
        <f t="array" aca="1" ref="A4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17</v>
      </c>
      <c r="B40" s="11" t="s">
        <v>119</v>
      </c>
      <c r="C40" s="10" t="s">
        <v>119</v>
      </c>
      <c r="D40" s="10" t="s">
        <v>86</v>
      </c>
      <c r="E40" s="34" t="s">
        <v>122</v>
      </c>
      <c r="F40" s="34" t="s">
        <v>123</v>
      </c>
      <c r="G40" s="10" t="s">
        <v>124</v>
      </c>
      <c r="H40" s="10" t="s">
        <v>124</v>
      </c>
      <c r="I40" s="12">
        <v>0</v>
      </c>
      <c r="J40" s="12">
        <v>0.99930555555555556</v>
      </c>
      <c r="K40" s="13">
        <v>41604</v>
      </c>
      <c r="L40" s="13" t="s">
        <v>60</v>
      </c>
      <c r="M40" s="27" t="s">
        <v>125</v>
      </c>
    </row>
    <row r="41" spans="1:13" x14ac:dyDescent="0.25">
      <c r="A41" s="26" cm="1">
        <f t="array" aca="1" ref="A4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18</v>
      </c>
      <c r="B41" s="11" t="s">
        <v>119</v>
      </c>
      <c r="C41" s="10" t="s">
        <v>119</v>
      </c>
      <c r="D41" s="10" t="s">
        <v>126</v>
      </c>
      <c r="E41" s="34" t="s">
        <v>127</v>
      </c>
      <c r="F41" s="34" t="s">
        <v>128</v>
      </c>
      <c r="G41" s="10" t="s">
        <v>77</v>
      </c>
      <c r="H41" s="10" t="s">
        <v>129</v>
      </c>
      <c r="I41" s="12">
        <v>0</v>
      </c>
      <c r="J41" s="12">
        <v>0.99930555555555556</v>
      </c>
      <c r="K41" s="13">
        <v>43091</v>
      </c>
      <c r="L41" s="13" t="s">
        <v>60</v>
      </c>
      <c r="M41" s="27" t="s">
        <v>130</v>
      </c>
    </row>
    <row r="42" spans="1:13" ht="30" x14ac:dyDescent="0.25">
      <c r="A42" s="26" cm="1">
        <f t="array" aca="1" ref="A4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19</v>
      </c>
      <c r="B42" s="11" t="s">
        <v>119</v>
      </c>
      <c r="C42" s="10" t="s">
        <v>131</v>
      </c>
      <c r="D42" s="10" t="s">
        <v>55</v>
      </c>
      <c r="E42" s="34" t="s">
        <v>132</v>
      </c>
      <c r="F42" s="34" t="s">
        <v>133</v>
      </c>
      <c r="G42" s="10" t="s">
        <v>58</v>
      </c>
      <c r="H42" s="10" t="s">
        <v>134</v>
      </c>
      <c r="I42" s="12">
        <v>0</v>
      </c>
      <c r="J42" s="12">
        <v>0.99930555555555556</v>
      </c>
      <c r="K42" s="13">
        <v>46275</v>
      </c>
      <c r="L42" s="13" t="s">
        <v>60</v>
      </c>
      <c r="M42" s="27" t="s">
        <v>61</v>
      </c>
    </row>
    <row r="43" spans="1:13" ht="30" x14ac:dyDescent="0.25">
      <c r="A43" s="26" cm="1">
        <f t="array" aca="1" ref="A4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20</v>
      </c>
      <c r="B43" s="11" t="s">
        <v>119</v>
      </c>
      <c r="C43" s="10" t="s">
        <v>131</v>
      </c>
      <c r="D43" s="10" t="s">
        <v>55</v>
      </c>
      <c r="E43" s="34" t="s">
        <v>135</v>
      </c>
      <c r="F43" s="34" t="s">
        <v>136</v>
      </c>
      <c r="G43" s="10" t="s">
        <v>58</v>
      </c>
      <c r="H43" s="10" t="s">
        <v>134</v>
      </c>
      <c r="I43" s="12">
        <v>0</v>
      </c>
      <c r="J43" s="12">
        <v>0.99930555555555556</v>
      </c>
      <c r="K43" s="13">
        <v>46275</v>
      </c>
      <c r="L43" s="13" t="s">
        <v>60</v>
      </c>
      <c r="M43" s="27" t="s">
        <v>61</v>
      </c>
    </row>
    <row r="44" spans="1:13" ht="30.75" thickBot="1" x14ac:dyDescent="0.3">
      <c r="A44" s="26" cm="1">
        <f t="array" aca="1" ref="A4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21</v>
      </c>
      <c r="B44" s="11" t="s">
        <v>119</v>
      </c>
      <c r="C44" s="10" t="s">
        <v>131</v>
      </c>
      <c r="D44" s="10" t="s">
        <v>55</v>
      </c>
      <c r="E44" s="34" t="s">
        <v>137</v>
      </c>
      <c r="F44" s="34" t="s">
        <v>138</v>
      </c>
      <c r="G44" s="10" t="s">
        <v>139</v>
      </c>
      <c r="H44" s="10" t="s">
        <v>140</v>
      </c>
      <c r="I44" s="12">
        <v>0</v>
      </c>
      <c r="J44" s="12">
        <v>0.99930555555555556</v>
      </c>
      <c r="K44" s="13">
        <v>46308</v>
      </c>
      <c r="L44" s="13" t="s">
        <v>60</v>
      </c>
      <c r="M44" s="27" t="s">
        <v>79</v>
      </c>
    </row>
    <row r="45" spans="1:13" ht="22.5" customHeight="1" thickBot="1" x14ac:dyDescent="0.3">
      <c r="A45" s="39"/>
      <c r="B45" s="40"/>
      <c r="C45" s="40"/>
      <c r="D45" s="104" t="s">
        <v>24</v>
      </c>
      <c r="E45" s="104"/>
      <c r="F45" s="104"/>
      <c r="G45" s="104"/>
      <c r="H45" s="104"/>
      <c r="I45" s="104"/>
      <c r="J45" s="104"/>
      <c r="K45" s="40"/>
      <c r="L45" s="40"/>
      <c r="M45" s="41"/>
    </row>
    <row r="46" spans="1:13" ht="18" customHeight="1" x14ac:dyDescent="0.25">
      <c r="A46" s="121" t="s">
        <v>5</v>
      </c>
      <c r="B46" s="119" t="s">
        <v>0</v>
      </c>
      <c r="C46" s="120"/>
      <c r="D46" s="117" t="s">
        <v>12</v>
      </c>
      <c r="E46" s="115" t="s">
        <v>6</v>
      </c>
      <c r="F46" s="116"/>
      <c r="G46" s="117" t="s">
        <v>19</v>
      </c>
      <c r="H46" s="117" t="s">
        <v>16</v>
      </c>
      <c r="I46" s="127" t="s">
        <v>3</v>
      </c>
      <c r="J46" s="128"/>
      <c r="K46" s="125" t="s">
        <v>4</v>
      </c>
      <c r="L46" s="126"/>
      <c r="M46" s="123" t="s">
        <v>10</v>
      </c>
    </row>
    <row r="47" spans="1:13" ht="18" customHeight="1" x14ac:dyDescent="0.25">
      <c r="A47" s="122"/>
      <c r="B47" s="7" t="s">
        <v>1</v>
      </c>
      <c r="C47" s="9" t="s">
        <v>2</v>
      </c>
      <c r="D47" s="118"/>
      <c r="E47" s="33" t="s">
        <v>1</v>
      </c>
      <c r="F47" s="33" t="s">
        <v>2</v>
      </c>
      <c r="G47" s="118"/>
      <c r="H47" s="118"/>
      <c r="I47" s="14" t="s">
        <v>8</v>
      </c>
      <c r="J47" s="15" t="s">
        <v>17</v>
      </c>
      <c r="K47" s="15" t="s">
        <v>8</v>
      </c>
      <c r="L47" s="15" t="s">
        <v>17</v>
      </c>
      <c r="M47" s="124"/>
    </row>
    <row r="48" spans="1:13" ht="75" x14ac:dyDescent="0.25">
      <c r="A48" s="26" cm="1">
        <f t="array" aca="1" ref="A4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22</v>
      </c>
      <c r="B48" s="11" t="s">
        <v>53</v>
      </c>
      <c r="C48" s="10" t="s">
        <v>119</v>
      </c>
      <c r="D48" s="10" t="s">
        <v>141</v>
      </c>
      <c r="E48" s="34" t="s">
        <v>142</v>
      </c>
      <c r="F48" s="34" t="s">
        <v>143</v>
      </c>
      <c r="G48" s="10" t="s">
        <v>144</v>
      </c>
      <c r="H48" s="10" t="s">
        <v>145</v>
      </c>
      <c r="I48" s="37">
        <v>0.66666666666666663</v>
      </c>
      <c r="J48" s="37">
        <v>0.83333333333333337</v>
      </c>
      <c r="K48" s="13">
        <v>46322</v>
      </c>
      <c r="L48" s="13">
        <v>46322</v>
      </c>
      <c r="M48" s="27" t="s">
        <v>146</v>
      </c>
    </row>
    <row r="49" spans="1:13" ht="30" x14ac:dyDescent="0.25">
      <c r="A49" s="26" cm="1">
        <f t="array" aca="1" ref="A4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23</v>
      </c>
      <c r="B49" s="11" t="s">
        <v>53</v>
      </c>
      <c r="C49" s="10" t="s">
        <v>54</v>
      </c>
      <c r="D49" s="10" t="s">
        <v>147</v>
      </c>
      <c r="E49" s="34" t="s">
        <v>148</v>
      </c>
      <c r="F49" s="34" t="s">
        <v>149</v>
      </c>
      <c r="G49" s="10" t="s">
        <v>144</v>
      </c>
      <c r="H49" s="10" t="s">
        <v>150</v>
      </c>
      <c r="I49" s="37">
        <v>0.66666666666666663</v>
      </c>
      <c r="J49" s="37">
        <v>0.83333333333333337</v>
      </c>
      <c r="K49" s="13">
        <v>46322</v>
      </c>
      <c r="L49" s="13">
        <v>46322</v>
      </c>
      <c r="M49" s="27" t="s">
        <v>146</v>
      </c>
    </row>
    <row r="50" spans="1:13" ht="45" x14ac:dyDescent="0.25">
      <c r="A50" s="26" cm="1">
        <f t="array" aca="1" ref="A5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24</v>
      </c>
      <c r="B50" s="11" t="s">
        <v>53</v>
      </c>
      <c r="C50" s="10" t="s">
        <v>54</v>
      </c>
      <c r="D50" s="10" t="s">
        <v>62</v>
      </c>
      <c r="E50" s="34" t="s">
        <v>70</v>
      </c>
      <c r="F50" s="34" t="s">
        <v>71</v>
      </c>
      <c r="G50" s="10" t="s">
        <v>144</v>
      </c>
      <c r="H50" s="10" t="s">
        <v>73</v>
      </c>
      <c r="I50" s="37">
        <v>0.66666666666666663</v>
      </c>
      <c r="J50" s="37">
        <v>0.83333333333333337</v>
      </c>
      <c r="K50" s="13">
        <v>46322</v>
      </c>
      <c r="L50" s="13">
        <v>46322</v>
      </c>
      <c r="M50" s="27" t="s">
        <v>151</v>
      </c>
    </row>
    <row r="51" spans="1:13" ht="30" x14ac:dyDescent="0.25">
      <c r="A51" s="26" cm="1">
        <f t="array" aca="1" ref="A5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25</v>
      </c>
      <c r="B51" s="11" t="s">
        <v>54</v>
      </c>
      <c r="C51" s="10" t="s">
        <v>90</v>
      </c>
      <c r="D51" s="10" t="s">
        <v>147</v>
      </c>
      <c r="E51" s="34" t="s">
        <v>149</v>
      </c>
      <c r="F51" s="34" t="s">
        <v>152</v>
      </c>
      <c r="G51" s="10" t="s">
        <v>144</v>
      </c>
      <c r="H51" s="10" t="s">
        <v>150</v>
      </c>
      <c r="I51" s="37">
        <v>0.66666666666666663</v>
      </c>
      <c r="J51" s="37">
        <v>0.83333333333333337</v>
      </c>
      <c r="K51" s="13">
        <v>46322</v>
      </c>
      <c r="L51" s="13">
        <v>46322</v>
      </c>
      <c r="M51" s="27" t="s">
        <v>146</v>
      </c>
    </row>
    <row r="52" spans="1:13" ht="30" x14ac:dyDescent="0.25">
      <c r="A52" s="26" cm="1">
        <f t="array" aca="1" ref="A5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26</v>
      </c>
      <c r="B52" s="11" t="s">
        <v>90</v>
      </c>
      <c r="C52" s="10" t="s">
        <v>119</v>
      </c>
      <c r="D52" s="10" t="s">
        <v>147</v>
      </c>
      <c r="E52" s="34" t="s">
        <v>152</v>
      </c>
      <c r="F52" s="34" t="s">
        <v>153</v>
      </c>
      <c r="G52" s="10" t="s">
        <v>144</v>
      </c>
      <c r="H52" s="10" t="s">
        <v>150</v>
      </c>
      <c r="I52" s="37">
        <v>0.66666666666666663</v>
      </c>
      <c r="J52" s="37">
        <v>0.83333333333333337</v>
      </c>
      <c r="K52" s="13">
        <v>46322</v>
      </c>
      <c r="L52" s="13">
        <v>46322</v>
      </c>
      <c r="M52" s="27" t="s">
        <v>146</v>
      </c>
    </row>
    <row r="53" spans="1:13" ht="30" x14ac:dyDescent="0.25">
      <c r="A53" s="26" cm="1">
        <f t="array" aca="1" ref="A5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27</v>
      </c>
      <c r="B53" s="11" t="s">
        <v>115</v>
      </c>
      <c r="C53" s="10" t="s">
        <v>119</v>
      </c>
      <c r="D53" s="10" t="s">
        <v>147</v>
      </c>
      <c r="E53" s="34" t="s">
        <v>153</v>
      </c>
      <c r="F53" s="34" t="s">
        <v>154</v>
      </c>
      <c r="G53" s="10" t="s">
        <v>144</v>
      </c>
      <c r="H53" s="10" t="s">
        <v>150</v>
      </c>
      <c r="I53" s="37">
        <v>0.66666666666666663</v>
      </c>
      <c r="J53" s="37">
        <v>0.83333333333333337</v>
      </c>
      <c r="K53" s="13">
        <v>46322</v>
      </c>
      <c r="L53" s="13">
        <v>46322</v>
      </c>
      <c r="M53" s="27" t="s">
        <v>146</v>
      </c>
    </row>
    <row r="54" spans="1:13" ht="105" x14ac:dyDescent="0.25">
      <c r="A54" s="26" cm="1">
        <f t="array" aca="1" ref="A5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28</v>
      </c>
      <c r="B54" s="11" t="s">
        <v>119</v>
      </c>
      <c r="C54" s="10" t="s">
        <v>131</v>
      </c>
      <c r="D54" s="10" t="s">
        <v>141</v>
      </c>
      <c r="E54" s="34" t="s">
        <v>155</v>
      </c>
      <c r="F54" s="34" t="s">
        <v>156</v>
      </c>
      <c r="G54" s="10" t="s">
        <v>144</v>
      </c>
      <c r="H54" s="10" t="s">
        <v>157</v>
      </c>
      <c r="I54" s="37">
        <v>0.66666666666666663</v>
      </c>
      <c r="J54" s="37">
        <v>0.83333333333333337</v>
      </c>
      <c r="K54" s="13">
        <v>46322</v>
      </c>
      <c r="L54" s="13">
        <v>46322</v>
      </c>
      <c r="M54" s="27" t="s">
        <v>146</v>
      </c>
    </row>
    <row r="55" spans="1:13" ht="30" x14ac:dyDescent="0.25">
      <c r="A55" s="26" cm="1">
        <f t="array" aca="1" ref="A5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29</v>
      </c>
      <c r="B55" s="11" t="s">
        <v>119</v>
      </c>
      <c r="C55" s="10" t="s">
        <v>131</v>
      </c>
      <c r="D55" s="10" t="s">
        <v>147</v>
      </c>
      <c r="E55" s="34" t="s">
        <v>154</v>
      </c>
      <c r="F55" s="34" t="s">
        <v>156</v>
      </c>
      <c r="G55" s="10" t="s">
        <v>144</v>
      </c>
      <c r="H55" s="10" t="s">
        <v>158</v>
      </c>
      <c r="I55" s="37">
        <v>0.66666666666666663</v>
      </c>
      <c r="J55" s="37">
        <v>0.83333333333333337</v>
      </c>
      <c r="K55" s="13">
        <v>46322</v>
      </c>
      <c r="L55" s="13">
        <v>46322</v>
      </c>
      <c r="M55" s="27" t="s">
        <v>146</v>
      </c>
    </row>
    <row r="56" spans="1:13" ht="150" x14ac:dyDescent="0.25">
      <c r="A56" s="26" cm="1">
        <f t="array" aca="1" ref="A5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30</v>
      </c>
      <c r="B56" s="11" t="s">
        <v>119</v>
      </c>
      <c r="C56" s="10" t="s">
        <v>159</v>
      </c>
      <c r="D56" s="10" t="s">
        <v>141</v>
      </c>
      <c r="E56" s="34" t="s">
        <v>160</v>
      </c>
      <c r="F56" s="34" t="s">
        <v>161</v>
      </c>
      <c r="G56" s="10" t="s">
        <v>144</v>
      </c>
      <c r="H56" s="10" t="s">
        <v>162</v>
      </c>
      <c r="I56" s="37">
        <v>0</v>
      </c>
      <c r="J56" s="37">
        <v>0.20833333333333334</v>
      </c>
      <c r="K56" s="13">
        <v>46322</v>
      </c>
      <c r="L56" s="13">
        <v>46322</v>
      </c>
      <c r="M56" s="27" t="s">
        <v>102</v>
      </c>
    </row>
    <row r="57" spans="1:13" ht="75" x14ac:dyDescent="0.25">
      <c r="A57" s="26" cm="1">
        <f t="array" aca="1" ref="A5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31</v>
      </c>
      <c r="B57" s="11" t="s">
        <v>119</v>
      </c>
      <c r="C57" s="10" t="s">
        <v>159</v>
      </c>
      <c r="D57" s="10" t="s">
        <v>141</v>
      </c>
      <c r="E57" s="34" t="s">
        <v>160</v>
      </c>
      <c r="F57" s="34" t="s">
        <v>163</v>
      </c>
      <c r="G57" s="10" t="s">
        <v>144</v>
      </c>
      <c r="H57" s="10" t="s">
        <v>164</v>
      </c>
      <c r="I57" s="37">
        <v>0.97916666666666663</v>
      </c>
      <c r="J57" s="37">
        <v>0.99930555555555556</v>
      </c>
      <c r="K57" s="13">
        <v>46322</v>
      </c>
      <c r="L57" s="13">
        <v>46322</v>
      </c>
      <c r="M57" s="27" t="s">
        <v>165</v>
      </c>
    </row>
    <row r="58" spans="1:13" ht="225" x14ac:dyDescent="0.25">
      <c r="A58" s="26" cm="1">
        <f t="array" aca="1" ref="A5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32</v>
      </c>
      <c r="B58" s="11" t="s">
        <v>119</v>
      </c>
      <c r="C58" s="10" t="s">
        <v>166</v>
      </c>
      <c r="D58" s="10" t="s">
        <v>141</v>
      </c>
      <c r="E58" s="34" t="s">
        <v>167</v>
      </c>
      <c r="F58" s="34" t="s">
        <v>168</v>
      </c>
      <c r="G58" s="10" t="s">
        <v>144</v>
      </c>
      <c r="H58" s="10" t="s">
        <v>169</v>
      </c>
      <c r="I58" s="37">
        <v>0</v>
      </c>
      <c r="J58" s="37">
        <v>0.1875</v>
      </c>
      <c r="K58" s="13">
        <v>46322</v>
      </c>
      <c r="L58" s="13">
        <v>46322</v>
      </c>
      <c r="M58" s="27" t="s">
        <v>170</v>
      </c>
    </row>
    <row r="59" spans="1:13" ht="255" x14ac:dyDescent="0.25">
      <c r="A59" s="26" cm="1">
        <f t="array" aca="1" ref="A5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33</v>
      </c>
      <c r="B59" s="11" t="s">
        <v>119</v>
      </c>
      <c r="C59" s="10" t="s">
        <v>166</v>
      </c>
      <c r="D59" s="10" t="s">
        <v>141</v>
      </c>
      <c r="E59" s="34" t="s">
        <v>167</v>
      </c>
      <c r="F59" s="34" t="s">
        <v>168</v>
      </c>
      <c r="G59" s="10" t="s">
        <v>144</v>
      </c>
      <c r="H59" s="10" t="s">
        <v>171</v>
      </c>
      <c r="I59" s="37">
        <v>0.98611111111111116</v>
      </c>
      <c r="J59" s="37">
        <v>0.99930555555555556</v>
      </c>
      <c r="K59" s="13">
        <v>46322</v>
      </c>
      <c r="L59" s="13">
        <v>46322</v>
      </c>
      <c r="M59" s="27" t="s">
        <v>170</v>
      </c>
    </row>
    <row r="60" spans="1:13" ht="330" x14ac:dyDescent="0.25">
      <c r="A60" s="26" cm="1">
        <f t="array" aca="1" ref="A6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34</v>
      </c>
      <c r="B60" s="11" t="s">
        <v>172</v>
      </c>
      <c r="C60" s="10" t="s">
        <v>172</v>
      </c>
      <c r="D60" s="161" t="s">
        <v>173</v>
      </c>
      <c r="E60" s="162"/>
      <c r="F60" s="162"/>
      <c r="G60" s="163"/>
      <c r="H60" s="10" t="s">
        <v>174</v>
      </c>
      <c r="I60" s="37">
        <v>0</v>
      </c>
      <c r="J60" s="37">
        <v>0.20833333333333334</v>
      </c>
      <c r="K60" s="13">
        <v>46322</v>
      </c>
      <c r="L60" s="13">
        <v>46322</v>
      </c>
      <c r="M60" s="27" t="s">
        <v>175</v>
      </c>
    </row>
    <row r="61" spans="1:13" ht="105" x14ac:dyDescent="0.25">
      <c r="A61" s="26" cm="1">
        <f t="array" aca="1" ref="A6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35</v>
      </c>
      <c r="B61" s="11" t="s">
        <v>172</v>
      </c>
      <c r="C61" s="10" t="s">
        <v>172</v>
      </c>
      <c r="D61" s="161" t="s">
        <v>173</v>
      </c>
      <c r="E61" s="162"/>
      <c r="F61" s="162"/>
      <c r="G61" s="163"/>
      <c r="H61" s="10" t="s">
        <v>176</v>
      </c>
      <c r="I61" s="37">
        <v>0</v>
      </c>
      <c r="J61" s="37">
        <v>0.16666666666666666</v>
      </c>
      <c r="K61" s="13">
        <v>46322</v>
      </c>
      <c r="L61" s="13">
        <v>46322</v>
      </c>
      <c r="M61" s="27" t="s">
        <v>177</v>
      </c>
    </row>
    <row r="62" spans="1:13" ht="105" x14ac:dyDescent="0.25">
      <c r="A62" s="26" cm="1">
        <f t="array" aca="1" ref="A6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36</v>
      </c>
      <c r="B62" s="11" t="s">
        <v>172</v>
      </c>
      <c r="C62" s="10" t="s">
        <v>172</v>
      </c>
      <c r="D62" s="161" t="s">
        <v>173</v>
      </c>
      <c r="E62" s="162"/>
      <c r="F62" s="162"/>
      <c r="G62" s="163"/>
      <c r="H62" s="10" t="s">
        <v>176</v>
      </c>
      <c r="I62" s="37">
        <v>0.95833333333333337</v>
      </c>
      <c r="J62" s="37">
        <v>0.99930555555555556</v>
      </c>
      <c r="K62" s="13">
        <v>46322</v>
      </c>
      <c r="L62" s="13">
        <v>46322</v>
      </c>
      <c r="M62" s="27" t="s">
        <v>177</v>
      </c>
    </row>
    <row r="63" spans="1:13" ht="195" x14ac:dyDescent="0.25">
      <c r="A63" s="26" cm="1">
        <f t="array" aca="1" ref="A6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37</v>
      </c>
      <c r="B63" s="11" t="s">
        <v>172</v>
      </c>
      <c r="C63" s="10" t="s">
        <v>172</v>
      </c>
      <c r="D63" s="161" t="s">
        <v>173</v>
      </c>
      <c r="E63" s="162"/>
      <c r="F63" s="162"/>
      <c r="G63" s="163"/>
      <c r="H63" s="10" t="s">
        <v>178</v>
      </c>
      <c r="I63" s="37">
        <v>0.97916666666666663</v>
      </c>
      <c r="J63" s="37">
        <v>0.99930555555555556</v>
      </c>
      <c r="K63" s="13">
        <v>46322</v>
      </c>
      <c r="L63" s="13">
        <v>46322</v>
      </c>
      <c r="M63" s="27" t="s">
        <v>175</v>
      </c>
    </row>
    <row r="64" spans="1:13" ht="135" x14ac:dyDescent="0.25">
      <c r="A64" s="26" cm="1">
        <f t="array" aca="1" ref="A6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38</v>
      </c>
      <c r="B64" s="11" t="s">
        <v>179</v>
      </c>
      <c r="C64" s="10" t="s">
        <v>179</v>
      </c>
      <c r="D64" s="161" t="s">
        <v>173</v>
      </c>
      <c r="E64" s="162"/>
      <c r="F64" s="162"/>
      <c r="G64" s="163"/>
      <c r="H64" s="10" t="s">
        <v>180</v>
      </c>
      <c r="I64" s="37">
        <v>0.33333333333333331</v>
      </c>
      <c r="J64" s="37">
        <v>0.75</v>
      </c>
      <c r="K64" s="13">
        <v>46322</v>
      </c>
      <c r="L64" s="13">
        <v>46322</v>
      </c>
      <c r="M64" s="27" t="s">
        <v>177</v>
      </c>
    </row>
    <row r="65" spans="1:14" ht="4.5" customHeight="1" thickBot="1" x14ac:dyDescent="0.3">
      <c r="A65" s="28"/>
      <c r="B65" s="2"/>
      <c r="C65" s="2"/>
      <c r="D65" s="3"/>
      <c r="E65" s="35"/>
      <c r="F65" s="35"/>
      <c r="G65" s="2"/>
      <c r="H65" s="4"/>
      <c r="I65" s="4"/>
      <c r="J65" s="5"/>
      <c r="K65" s="5"/>
      <c r="L65" s="6"/>
      <c r="M65" s="29"/>
    </row>
    <row r="66" spans="1:14" ht="22.5" customHeight="1" thickBot="1" x14ac:dyDescent="0.3">
      <c r="A66" s="39"/>
      <c r="B66" s="40"/>
      <c r="C66" s="40"/>
      <c r="D66" s="104" t="s">
        <v>50</v>
      </c>
      <c r="E66" s="104"/>
      <c r="F66" s="104"/>
      <c r="G66" s="104"/>
      <c r="H66" s="104"/>
      <c r="I66" s="104"/>
      <c r="J66" s="104"/>
      <c r="K66" s="40"/>
      <c r="L66" s="40"/>
      <c r="M66" s="41"/>
    </row>
    <row r="67" spans="1:14" ht="140.25" customHeight="1" thickBot="1" x14ac:dyDescent="0.3">
      <c r="A67" s="69"/>
      <c r="B67" s="154"/>
      <c r="C67" s="154"/>
      <c r="D67" s="154"/>
      <c r="E67" s="154"/>
      <c r="F67" s="154"/>
      <c r="G67" s="154"/>
      <c r="H67" s="154"/>
      <c r="I67" s="70"/>
      <c r="J67" s="70"/>
      <c r="K67" s="70"/>
      <c r="L67" s="70"/>
      <c r="M67" s="71"/>
    </row>
    <row r="68" spans="1:14" ht="15.75" customHeight="1" x14ac:dyDescent="0.25">
      <c r="A68" s="155"/>
      <c r="B68" s="155"/>
      <c r="C68" s="155"/>
      <c r="D68" s="155"/>
      <c r="E68" s="155"/>
      <c r="F68" s="155"/>
      <c r="G68" s="155"/>
      <c r="H68" s="155"/>
      <c r="I68" s="57"/>
      <c r="J68" s="57"/>
      <c r="K68" s="57"/>
      <c r="L68" s="57"/>
      <c r="M68" s="57"/>
      <c r="N68" s="67"/>
    </row>
    <row r="69" spans="1:14" ht="15.75" customHeight="1" x14ac:dyDescent="0.25">
      <c r="A69" s="155"/>
      <c r="B69" s="155"/>
      <c r="C69" s="155"/>
      <c r="D69" s="155"/>
      <c r="E69" s="155"/>
      <c r="F69" s="155"/>
      <c r="G69" s="155"/>
      <c r="H69" s="155"/>
      <c r="I69" s="58"/>
      <c r="J69" s="58"/>
      <c r="K69" s="58"/>
      <c r="L69" s="58"/>
      <c r="M69" s="58"/>
      <c r="N69" s="67"/>
    </row>
    <row r="70" spans="1:14" ht="15.75" customHeight="1" x14ac:dyDescent="0.25">
      <c r="A70" s="155"/>
      <c r="B70" s="155"/>
      <c r="C70" s="155"/>
      <c r="D70" s="155"/>
      <c r="E70" s="155"/>
      <c r="F70" s="155"/>
      <c r="G70" s="155"/>
      <c r="H70" s="155"/>
      <c r="I70" s="58"/>
      <c r="J70" s="58"/>
      <c r="K70" s="58"/>
      <c r="L70" s="58"/>
      <c r="M70" s="58"/>
      <c r="N70" s="67"/>
    </row>
    <row r="71" spans="1:14" x14ac:dyDescent="0.25">
      <c r="A71" s="67"/>
      <c r="B71" s="67"/>
      <c r="C71" s="67"/>
      <c r="D71" s="67"/>
      <c r="E71" s="68"/>
      <c r="F71" s="68"/>
      <c r="G71" s="67"/>
      <c r="H71" s="67"/>
      <c r="I71" s="67"/>
      <c r="J71" s="67"/>
      <c r="K71" s="67"/>
      <c r="L71" s="67"/>
      <c r="M71" s="67"/>
      <c r="N71" s="67"/>
    </row>
    <row r="72" spans="1:14" x14ac:dyDescent="0.25">
      <c r="A72" s="67"/>
      <c r="B72" s="67"/>
      <c r="C72" s="67"/>
      <c r="D72" s="67"/>
      <c r="E72" s="68"/>
      <c r="F72" s="68"/>
      <c r="G72" s="67"/>
      <c r="H72" s="67"/>
      <c r="I72" s="67"/>
      <c r="J72" s="67"/>
      <c r="K72" s="67"/>
      <c r="L72" s="67"/>
      <c r="M72" s="67"/>
      <c r="N72" s="67"/>
    </row>
    <row r="73" spans="1:14" x14ac:dyDescent="0.25">
      <c r="A73" s="67"/>
      <c r="B73" s="67"/>
      <c r="C73" s="67"/>
      <c r="D73" s="67"/>
      <c r="E73" s="68"/>
      <c r="F73" s="68"/>
      <c r="G73" s="67"/>
      <c r="H73" s="67"/>
      <c r="I73" s="67"/>
      <c r="J73" s="67"/>
      <c r="K73" s="67"/>
      <c r="L73" s="67"/>
      <c r="M73" s="67"/>
      <c r="N73" s="67"/>
    </row>
    <row r="74" spans="1:14" ht="40.5" customHeight="1" x14ac:dyDescent="0.25">
      <c r="A74" s="67"/>
      <c r="B74" s="67"/>
      <c r="C74" s="67"/>
      <c r="D74" s="67"/>
      <c r="E74" s="68"/>
      <c r="F74" s="68"/>
      <c r="G74" s="67"/>
      <c r="H74" s="67"/>
      <c r="I74" s="67"/>
      <c r="J74" s="67"/>
      <c r="K74" s="67"/>
      <c r="L74" s="67"/>
      <c r="M74" s="67"/>
      <c r="N74" s="67"/>
    </row>
  </sheetData>
  <mergeCells count="61">
    <mergeCell ref="C10:D10"/>
    <mergeCell ref="C11:D11"/>
    <mergeCell ref="C12:D12"/>
    <mergeCell ref="F9:G9"/>
    <mergeCell ref="F10:G10"/>
    <mergeCell ref="F11:G11"/>
    <mergeCell ref="F12:G12"/>
    <mergeCell ref="C9:D9"/>
    <mergeCell ref="M22:M23"/>
    <mergeCell ref="B67:H67"/>
    <mergeCell ref="A68:H68"/>
    <mergeCell ref="A69:H69"/>
    <mergeCell ref="A70:H70"/>
    <mergeCell ref="D45:J45"/>
    <mergeCell ref="I22:J22"/>
    <mergeCell ref="K22:L22"/>
    <mergeCell ref="B22:C22"/>
    <mergeCell ref="H22:H23"/>
    <mergeCell ref="D64:G64"/>
    <mergeCell ref="D60:G60"/>
    <mergeCell ref="D61:G61"/>
    <mergeCell ref="D62:G62"/>
    <mergeCell ref="D63:G63"/>
    <mergeCell ref="A4:B4"/>
    <mergeCell ref="A5:B5"/>
    <mergeCell ref="A22:A23"/>
    <mergeCell ref="G22:G23"/>
    <mergeCell ref="E4:F4"/>
    <mergeCell ref="D21:J21"/>
    <mergeCell ref="D22:D23"/>
    <mergeCell ref="I6:L6"/>
    <mergeCell ref="I7:L7"/>
    <mergeCell ref="I8:L8"/>
    <mergeCell ref="C6:D6"/>
    <mergeCell ref="C7:D7"/>
    <mergeCell ref="C8:D8"/>
    <mergeCell ref="F6:G6"/>
    <mergeCell ref="F7:G7"/>
    <mergeCell ref="F8:G8"/>
    <mergeCell ref="J1:M1"/>
    <mergeCell ref="A2:B2"/>
    <mergeCell ref="I2:M2"/>
    <mergeCell ref="E1:H1"/>
    <mergeCell ref="E3:F3"/>
    <mergeCell ref="A3:B3"/>
    <mergeCell ref="A19:M19"/>
    <mergeCell ref="D14:J14"/>
    <mergeCell ref="A17:M17"/>
    <mergeCell ref="A18:M18"/>
    <mergeCell ref="D66:J66"/>
    <mergeCell ref="H15:M16"/>
    <mergeCell ref="E22:F22"/>
    <mergeCell ref="D46:D47"/>
    <mergeCell ref="B46:C46"/>
    <mergeCell ref="A46:A47"/>
    <mergeCell ref="M46:M47"/>
    <mergeCell ref="K46:L46"/>
    <mergeCell ref="I46:J46"/>
    <mergeCell ref="H46:H47"/>
    <mergeCell ref="G46:G47"/>
    <mergeCell ref="E46:F46"/>
  </mergeCells>
  <conditionalFormatting sqref="B24:M44">
    <cfRule type="expression" dxfId="4" priority="12">
      <formula>AND($K24&gt;0,$K24=$L24,$G24="TOQUE PITO")</formula>
    </cfRule>
    <cfRule type="expression" dxfId="3" priority="13">
      <formula>SEARCH("Cruce",$D24)</formula>
    </cfRule>
    <cfRule type="expression" dxfId="2" priority="14">
      <formula>AND($K24&gt;0,$K24=$L24)</formula>
    </cfRule>
  </conditionalFormatting>
  <conditionalFormatting sqref="H24:H64">
    <cfRule type="containsText" dxfId="1" priority="15" operator="containsText" text="VENTANA DE TRABAJO BAJO COORDINACIÓN CON CONTROLADOR DE TRÁFICO">
      <formula>NOT(ISERROR(SEARCH("VENTANA DE TRABAJO BAJO COORDINACIÓN CON CONTROLADOR DE TRÁFICO",H24)))</formula>
    </cfRule>
  </conditionalFormatting>
  <conditionalFormatting sqref="H24:H44">
    <cfRule type="expression" dxfId="0" priority="11">
      <formula>AND($K24&gt;0,$K24=$L24,$G24="TOQUE PITO")</formula>
    </cfRule>
  </conditionalFormatting>
  <hyperlinks>
    <hyperlink ref="H8" r:id="rId1" xr:uid="{9F9DA072-CC17-47A2-9542-4F3E1598F1FF}"/>
    <hyperlink ref="I8" r:id="rId2" xr:uid="{429B97BD-B768-41CF-B7D5-3B72346E6404}"/>
    <hyperlink ref="C9" r:id="rId3" xr:uid="{A9B74134-8CAA-481B-9EC3-ECE9FFF4122C}"/>
    <hyperlink ref="F8" r:id="rId4" display="ct.con@efesur.cl" xr:uid="{A62771B1-F50B-44FC-8E46-A4111D7FF847}"/>
    <hyperlink ref="F9" r:id="rId5" xr:uid="{616104E9-1DFE-495C-AAB9-5F8759EC5E00}"/>
  </hyperlinks>
  <pageMargins left="0.31496062992125984" right="0.31496062992125984" top="0.35433070866141736" bottom="0.35433070866141736" header="0.31496062992125984" footer="0.31496062992125984"/>
  <pageSetup scale="61" fitToHeight="0" orientation="landscape" r:id="rId6"/>
  <headerFooter>
    <oddFooter>&amp;R&amp;P</oddFoot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5291bc-c7a1-4ef0-8ab4-c48bff5dc735" xsi:nil="true"/>
    <lcf76f155ced4ddcb4097134ff3c332f xmlns="313609a6-81c6-46ac-ab9d-5ac73f4e1cc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5382F9A49816E4BB01C68A445F45E9E" ma:contentTypeVersion="12" ma:contentTypeDescription="Crear nuevo documento." ma:contentTypeScope="" ma:versionID="4d578b9c7c3b00852d9c044d8d9956a4">
  <xsd:schema xmlns:xsd="http://www.w3.org/2001/XMLSchema" xmlns:xs="http://www.w3.org/2001/XMLSchema" xmlns:p="http://schemas.microsoft.com/office/2006/metadata/properties" xmlns:ns2="313609a6-81c6-46ac-ab9d-5ac73f4e1ccd" xmlns:ns3="f45291bc-c7a1-4ef0-8ab4-c48bff5dc735" targetNamespace="http://schemas.microsoft.com/office/2006/metadata/properties" ma:root="true" ma:fieldsID="92db37c773123e2ab5149400cca1b3b1" ns2:_="" ns3:_="">
    <xsd:import namespace="313609a6-81c6-46ac-ab9d-5ac73f4e1ccd"/>
    <xsd:import namespace="f45291bc-c7a1-4ef0-8ab4-c48bff5dc7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3609a6-81c6-46ac-ab9d-5ac73f4e1c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50a62023-e717-42a3-add4-768fa6f1878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5291bc-c7a1-4ef0-8ab4-c48bff5dc73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428f025-56c5-4e3e-ab4e-3896790a3fc2}" ma:internalName="TaxCatchAll" ma:showField="CatchAllData" ma:web="f45291bc-c7a1-4ef0-8ab4-c48bff5dc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2591B6-8C80-41FE-AFE6-A9A4EC0BE937}">
  <ds:schemaRefs>
    <ds:schemaRef ds:uri="f45291bc-c7a1-4ef0-8ab4-c48bff5dc735"/>
    <ds:schemaRef ds:uri="http://purl.org/dc/elements/1.1/"/>
    <ds:schemaRef ds:uri="http://www.w3.org/XML/1998/namespace"/>
    <ds:schemaRef ds:uri="http://schemas.microsoft.com/office/2006/documentManagement/types"/>
    <ds:schemaRef ds:uri="http://purl.org/dc/dcmitype/"/>
    <ds:schemaRef ds:uri="http://purl.org/dc/terms/"/>
    <ds:schemaRef ds:uri="http://schemas.openxmlformats.org/package/2006/metadata/core-properties"/>
    <ds:schemaRef ds:uri="http://schemas.microsoft.com/office/infopath/2007/PartnerControls"/>
    <ds:schemaRef ds:uri="313609a6-81c6-46ac-ab9d-5ac73f4e1ccd"/>
    <ds:schemaRef ds:uri="http://schemas.microsoft.com/office/2006/metadata/properties"/>
  </ds:schemaRefs>
</ds:datastoreItem>
</file>

<file path=customXml/itemProps2.xml><?xml version="1.0" encoding="utf-8"?>
<ds:datastoreItem xmlns:ds="http://schemas.openxmlformats.org/officeDocument/2006/customXml" ds:itemID="{F29C0CCF-64D9-48FA-AC9B-188681EF6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3609a6-81c6-46ac-ab9d-5ac73f4e1ccd"/>
    <ds:schemaRef ds:uri="f45291bc-c7a1-4ef0-8ab4-c48bff5dc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66D88B-7F68-43F4-A96E-1F45E0E93D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2026-10-26T20:29:38Z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0x010100E5382F9A49816E4BB01C68A445F45E9E</vt:lpwstr>
  </property>
  <property fmtid="{D5CDD505-2E9C-101B-9397-08002B2CF9AE}" pid="3" name="MediaServiceImageTags">
    <vt:lpwstr/>
  </property>
</Properties>
</file>