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40C68924-B487-4870-9973-8F40D72B5946}" xr6:coauthVersionLast="47" xr6:coauthVersionMax="47" xr10:uidLastSave="{00000000-0000-0000-0000-000000000000}"/>
  <bookViews>
    <workbookView xWindow="1890" yWindow="1905" windowWidth="21600" windowHeight="11385" xr2:uid="{00000000-000D-0000-FFFF-FFFF00000000}"/>
  </bookViews>
  <sheets>
    <sheet name="Hoja1" sheetId="1" r:id="rId1"/>
  </sheets>
  <definedNames>
    <definedName name="_xlnm.Print_Area" localSheetId="0">Hoja1!$A$1:$M$73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4" i="1" a="1"/>
  <c r="A24" i="1" l="1"/>
  <c r="A25" i="1" a="1"/>
  <c r="A25" i="1" l="1"/>
  <c r="A26" i="1" a="1"/>
  <c r="A26" i="1" l="1"/>
  <c r="A27" i="1" a="1"/>
  <c r="A27" i="1" l="1"/>
  <c r="A28" i="1" a="1"/>
  <c r="A28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<sst xmlns="http://schemas.openxmlformats.org/spreadsheetml/2006/main" count="361" uniqueCount="170">
  <si>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</si>
  <si>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</si>
  <si>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</si>
  <si>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</si>
  <si>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</si>
  <si>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</si>
  <si>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</si>
  <si>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</si>
  <si>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</si>
  <si>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NOTIFICACION DE FAENAS EN EL INICIO DEL RECORRIDO</t>
  </si>
  <si>
    <t>EMPRESA</t>
  </si>
  <si>
    <t>VIA</t>
  </si>
  <si>
    <t>TIPO CORTADA</t>
  </si>
  <si>
    <t>MESA CTC 1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</si>
  <si>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</si>
  <si>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</si>
  <si>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</si>
  <si>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</si>
  <si>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</si>
  <si>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</si>
  <si>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</si>
  <si>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</si>
  <si>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</si>
  <si>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OIS BOLETÍN DE VIA C (SECTOR BUENURAQUI-HUALQUI)</t>
  </si>
  <si>
    <t>PROGRAMACIÓN DE CORTADAS</t>
  </si>
  <si>
    <t>MESA SSE REMOTO</t>
  </si>
  <si>
    <t>SD-15 / BUENURAQUI - QUILACOYA</t>
  </si>
  <si>
    <t>controlador.sser@efesur.cl</t>
  </si>
  <si>
    <t>MESA CFLEX 4</t>
  </si>
  <si>
    <t>INSPECTOR DE TURNO CONCEPCIÓN</t>
  </si>
  <si>
    <t>DESPACHO ELÉCTRICO CONCEPCIÓN</t>
  </si>
  <si>
    <t>SR-TH / CC-CW</t>
  </si>
  <si>
    <t>ct.con@efesur.cl</t>
  </si>
  <si>
    <t>despacho.electrico@efesur.cl</t>
  </si>
  <si>
    <t>41 216 6762</t>
  </si>
  <si>
    <t>41 216 6760 / 9 9848 1086</t>
  </si>
  <si>
    <t>MESA CFLEX 3 / AUV</t>
  </si>
  <si>
    <t>41 216 6764</t>
  </si>
  <si>
    <t>MESA AUV 2 / CFLEX 2</t>
  </si>
  <si>
    <t>41 216 6765</t>
  </si>
  <si>
    <t>SD 18 / 19 / 21 / 22 / 32 / 37 / 38 / 40 / RQ-NA</t>
  </si>
  <si>
    <t>LAJA - TEMUCO / SD-16</t>
  </si>
  <si>
    <t>41 216 6767 / 41 216 6768 / 9 4271 8148</t>
  </si>
  <si>
    <t>41 216 6766 / 41 216 6770</t>
  </si>
  <si>
    <t>41 216 6763</t>
  </si>
  <si>
    <t>operador.concepcion@efesur.cl</t>
  </si>
  <si>
    <r>
      <rPr>
        <b/>
        <sz val="18"/>
        <color rgb="FF000000"/>
        <rFont val="Calibri"/>
        <family val="2"/>
      </rPr>
      <t xml:space="preserve">FRECUENCIA RADIAL DE COMUNICACIÓN BU - HQ: </t>
    </r>
    <r>
      <rPr>
        <b/>
        <sz val="24"/>
        <color rgb="FF000000"/>
        <rFont val="Calibri"/>
        <family val="2"/>
      </rPr>
      <t>"2 LJ-HQ"</t>
    </r>
  </si>
  <si>
    <t>VELOCIDADES MÁXIMAS EN EL SECTOR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</si>
  <si>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</si>
  <si>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 xml:space="preserve">: </t>
    </r>
    <r>
      <rPr>
        <b/>
        <sz val="16"/>
        <color rgb="FF000000"/>
        <rFont val="Calibri"/>
        <family val="2"/>
      </rPr>
      <t>40 km/h</t>
    </r>
    <r>
      <rPr>
        <b/>
        <sz val="12"/>
        <color indexed="8"/>
        <rFont val="Calibri"/>
        <family val="2"/>
      </rPr>
      <t xml:space="preserve"> EN TODO EL SECTOR BUENURAQUI-HUALQUI.</t>
    </r>
  </si>
  <si>
    <t>VELOCIDADES DE PASO POR CRUCES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</si>
  <si>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</si>
  <si>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r>
      <rPr>
        <b/>
        <u/>
        <sz val="16"/>
        <color theme="0"/>
        <rFont val="Calibri"/>
        <family val="2"/>
      </rPr>
      <t>SAN ROSENDO-QUILACOYA:</t>
    </r>
    <r>
      <rPr>
        <b/>
        <sz val="16"/>
        <color theme="0"/>
        <rFont val="Calibri"/>
        <family val="2"/>
      </rPr>
      <t xml:space="preserve"> EQUIPOS SFE (EMU) NO PUEDEN INGRESAR A LÍNEAS LOCALES, NI AUN EN CASO DE EMERGENCIA, SALVO AUTORIZACIÓN DE JEFE DE TRÁFICO.</t>
    </r>
  </si>
  <si>
    <t>BUENURAQUI</t>
  </si>
  <si>
    <t>QUILACOYA</t>
  </si>
  <si>
    <t>SEÑALES Y LÍNEA DE CONTACTO</t>
  </si>
  <si>
    <t>501 P. 15</t>
  </si>
  <si>
    <t>35 P. 16</t>
  </si>
  <si>
    <t>OCUPACIÓN ORDINARIA DE VÍA</t>
  </si>
  <si>
    <t>RENOVACIÓN CATENARIA / SE SOLICITA DESCONEXIÓN DE 3KV Y 2,3 KV DESDE SUB-ESTACIÓN LAJA HASTA SUB-ESTACIÓN QUILACOYA  
REGIMEN: OCUPACION ORDINARIA / ALEX MUÑOS (P-6) / 9 42495453</t>
  </si>
  <si>
    <t>CONSORCIO (ARTURO FLORES)</t>
  </si>
  <si>
    <t>GOMERO</t>
  </si>
  <si>
    <t>PRINCIPAL Y LOCAL</t>
  </si>
  <si>
    <t>7 P. 14</t>
  </si>
  <si>
    <t>14 P. 18</t>
  </si>
  <si>
    <t>RENOVACIÓN CATENARIA / LUIS SANHUEZA (P-5.1) / 9 97870556</t>
  </si>
  <si>
    <t>PRINCIPAL</t>
  </si>
  <si>
    <t>13 P. 10</t>
  </si>
  <si>
    <t>15 P. 1</t>
  </si>
  <si>
    <t>PREPARACIÓN DE CAMBIO DE RIEL, SOLDADURA ALUMINOTERMICA, COLOCACIÓN DE DURMIENTE COMÚN Y REVISIÓN DE TROCHA / ADAN CONTRERAS (P-5.1) / 9 90648707</t>
  </si>
  <si>
    <t>CTA  (IGNACIO RETAMAL)</t>
  </si>
  <si>
    <t>TALCAMÁVIDA</t>
  </si>
  <si>
    <t>21 P. 32</t>
  </si>
  <si>
    <t>30 P. 10</t>
  </si>
  <si>
    <t>UNIHUE</t>
  </si>
  <si>
    <t>36 P. 3</t>
  </si>
  <si>
    <t>HUALQUI</t>
  </si>
  <si>
    <t>35 P. 17</t>
  </si>
  <si>
    <t>46 P. 11</t>
  </si>
  <si>
    <t>RENOVACIÓN CATENARIA / SE SOLICITA DESCONEXIÓN DE 3KV DESDE SUB-ESTACIÓN QUILACOYA INCLUYENDO ESTACIÓN DE QUILACOYA HASTA ESTACIÓN HUALQUI CON ABERTURA DE CUERNO N° 5 Y 2.3 KV DESDE SUB-ESTACIÓN QUILACOYA HASTA PK 59/20
REGIMEN: OCUPACION ORDINARIA / JEAN FRANCO ARRIAGADA (P-6) / 967149202</t>
  </si>
  <si>
    <t>RENOVACIÓN CATENARIA / GUSTAVO FLORES (P-5.1) / 9 88473371</t>
  </si>
  <si>
    <t>CONCEPCIÓN</t>
  </si>
  <si>
    <t>37 P. 13</t>
  </si>
  <si>
    <t>69 P. 9</t>
  </si>
  <si>
    <t>MANTENIMIENTO DE CORRECCIÓN DEL ZIG – ZAG DEL HILO DE CONTACTO EN VEHICULO                                                                                   MANTENIMIENTO DE AISLADORES DE CATENARIAS                                                                                                                       MANTENIMIENTO DE ROCE / SE SOLICITA DESCONEXIÓN DE 3KV DESDE PV QUILACOYA-HUALQUI HASTA AMBAS VÍAS CONCEPCIÓN-CHIGUAYANTE. DESCONEXIÓN DE 2,3KV DESDE S/E QUILACOYA HASTA PK 59/20. ADEMÁS 2,3KV DESDE PK 69/9 HASTA PK 59/20. /   NICOLAS DIAZ (P-5.1), OSCAR LEIVA (P-5.1), ISMAEL SOTO (P-6) / 9934950474, 973191983, 9920503735 / 2300V DESDE 37/18 AL 59/20, SI NECESITAN DESDE S/E QU NECESITAN ACUÑAR CAMBIOS EN QUILACOYA</t>
  </si>
  <si>
    <t>CTA SPA (RAMON QUERALES LEAL)</t>
  </si>
  <si>
    <t>68 P. 35</t>
  </si>
  <si>
    <t>MANTENIMIENTO DE EQUIPOS Y SEÑALES EN LA VIA (S2/1,S1/1)EST.CHIGUAYANTE / SE SOLICITA DESCONEXIÓN DE 3KV DESDE PV QUILACOYA-HUALQUI HASTA AMBAS VÍAS CONCEPCIÓN-CHIGUAYANTE + 2,3 KV DESDE S/E QUILACOYA HASTA PK 59/20  /  PABLO YAÑEZ (P-6), MANUEL RIQUELME (P-5.1) / 999692084, 936856982 / 2300V DESDE 37/18 AL 59/20, SI NECESITAN DESDE S/E QU NECESITAN ACUÑAR CAMBIOS EN QUILACOYA</t>
  </si>
  <si>
    <t>GLOBE ICF (RICARDO YAÑEZ)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</si>
  <si>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 / 977945466</t>
  </si>
  <si>
    <t>EFE (FERNANDO ROJAS JIMÉNEZ)</t>
  </si>
  <si>
    <t>CORONEL</t>
  </si>
  <si>
    <t>37 P. 14</t>
  </si>
  <si>
    <t>27 P. 47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</si>
  <si>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(P-6) / 943441848</t>
  </si>
  <si>
    <t>ICIL ICAFAL (MARCO OSSES)</t>
  </si>
  <si>
    <t>ACTIVIDADES DE PROYECTO AUMENTO DE CAPACIDAD DEL BIOTREN: INSTALACIÓN DE SOPORTES PARA ALIMENTADOR DE REFUERZO Y TENDIDO DE CABLE DE ALUMINIO, ADEMÁS DE CAMBIO DE REGISTRO A MÉNSULAS, CAMBIO DE CATENARIA, INSTALACIÓN DE SENSORES Y GATEWAY, CONEXIONES DE ALIMENTADOR A PORTALES 3KV, E INSTALACIÓN DE CONEXIONES DE ALIMENTACIÓN A CATENARIA DE ALIMENTADOR DE REFUERZO. INSTALACIÓN DE POSTES EN ESTACIÓN CCP.  / SE SOLICITA DESCONEXIÓN DE 3000VCC PV QUILACOYA - CCP CONSIDERANDO PATIO HASTA CORONEL Y 2300VCA DESDE CCP HASTA LOMAS COLORADAS  /// SE CONSIDERA RÉGIMEN DE OCUPACIÓN ORDINARIA DE VÍA. / LUIS GARAY (P-6) / 943441848</t>
  </si>
  <si>
    <t>TODAS</t>
  </si>
  <si>
    <t>9 P. 15</t>
  </si>
  <si>
    <t>12 P. 3</t>
  </si>
  <si>
    <t>PASAJEROS 30 km/h,          CARGA 20 km/h</t>
  </si>
  <si>
    <t>CONDICIÓN DE LA VÍA, TROCHA, DURMIENTES EN MAL ESTADO, DESGASTE DE RODÓN.</t>
  </si>
  <si>
    <t/>
  </si>
  <si>
    <t>EFE</t>
  </si>
  <si>
    <t>11 P. 1</t>
  </si>
  <si>
    <t>11 P. 10</t>
  </si>
  <si>
    <t>MARCHA DE EMERGENCIA</t>
  </si>
  <si>
    <t>POR RIESGO DE CAÍDA DE ROCAS, MALLAS DE PROTECCIÓN ROTAS</t>
  </si>
  <si>
    <t>EFE (ROBERTO DEMETRIO)</t>
  </si>
  <si>
    <t>13 P. 4</t>
  </si>
  <si>
    <t>15 P. 16</t>
  </si>
  <si>
    <t>30 km/h Y TOQUE PITO</t>
  </si>
  <si>
    <t>CTA (IGNACIO RETAMAL)</t>
  </si>
  <si>
    <t>DESVÍO 2 Y MARDOÑAL</t>
  </si>
  <si>
    <t>14 P. 16</t>
  </si>
  <si>
    <t>FUERA DE SERVICIO</t>
  </si>
  <si>
    <t xml:space="preserve">PATIO COLGANTE </t>
  </si>
  <si>
    <t>EFE (ROBERTO EGLI)</t>
  </si>
  <si>
    <t>LOCAL</t>
  </si>
  <si>
    <t>14 P. 23</t>
  </si>
  <si>
    <t>16 P. 10</t>
  </si>
  <si>
    <t>BAJADA DE PANTÓGRAFO</t>
  </si>
  <si>
    <t>DEC#272 NOTIFIQUE A MAQUINISTA DE TRENES ELÉCTRICOS DEBE BAJAR PANTÓGRAFO AL INGRESO Y SALIDA DE VÍA LOCAL EN PE GOMERO</t>
  </si>
  <si>
    <t>DEC</t>
  </si>
  <si>
    <t>DESVÍO 1</t>
  </si>
  <si>
    <t>15 P. 12</t>
  </si>
  <si>
    <t>15 P. 19</t>
  </si>
  <si>
    <t>DESVÍO 1 DE GOMERO OPERATIVO ENTRE POSTE 15/12 Y 15/19 PARA DEJAR TRENES Y MÓVILES DE MANTENIMIENTO "TREN RIELERO"</t>
  </si>
  <si>
    <t>17 P. 4</t>
  </si>
  <si>
    <t>21 P. 29</t>
  </si>
  <si>
    <t>30 km/h</t>
  </si>
  <si>
    <t>PREVENCIÓN SOLO PARA TRENES ELÉCTRICOS POR CATENARIA EN CONSTRUCCIÓN</t>
  </si>
  <si>
    <t>EFE (FERNANDO ROJAS)</t>
  </si>
  <si>
    <t>18 P. 14</t>
  </si>
  <si>
    <t>18 P. 28</t>
  </si>
  <si>
    <t>22 P. 7</t>
  </si>
  <si>
    <t>23 P. 11</t>
  </si>
  <si>
    <t>DEC#1207  DEL DÍA 08 DE MAYO 2023 NOTIFIQUE A MAQUINISTAS MAQUINAS ELÉCTRICAS DEBEN BAJAR PANTÓGRAFO COMO ENTRADA Y SALIDA VÍA LOCAL EN PATIO ELÉCTRICO TALCAMAVIDA KM 23 A 23/7</t>
  </si>
  <si>
    <t>23 P. 9</t>
  </si>
  <si>
    <t>23 P. 26</t>
  </si>
  <si>
    <t>PASAJEROS 20 km/h,          CARGA 10 km/h</t>
  </si>
  <si>
    <t>CONDICIÓN DE LA VÍA, DURMIENTES EN MAL ESTADO</t>
  </si>
  <si>
    <t>23 P. 18</t>
  </si>
  <si>
    <t>23 P. 31</t>
  </si>
  <si>
    <t>PASAJEROS 30 km/h CARGA 20 km/h</t>
  </si>
  <si>
    <t>CONDICIÓN DE VÍA EN SECTOR SOCAVÓN.</t>
  </si>
  <si>
    <t>28 P. 12</t>
  </si>
  <si>
    <t>30 P. 6</t>
  </si>
  <si>
    <t>DEC#11 NOTIFIQUE A MAQUINISTA DE TRENES ELÉCTRICOS DEBE BAJAR PANTÓGRAFO AL INGRESO Y SALIDA DE VÍA LOCAL EN PATIO ELÉCTRICO UNIHUE</t>
  </si>
  <si>
    <t>30 P. 1</t>
  </si>
  <si>
    <t>34 P. 1</t>
  </si>
  <si>
    <t>36 P. 5</t>
  </si>
  <si>
    <t>37 P. 2</t>
  </si>
  <si>
    <t>SIN TRÁFICO ELÉCTRICO</t>
  </si>
  <si>
    <t>INDEFINIDAS</t>
  </si>
  <si>
    <t>DESVÍO 2</t>
  </si>
  <si>
    <t>36 P. 11</t>
  </si>
  <si>
    <t>37 P. 1</t>
  </si>
  <si>
    <t>DURMIENTES EN MAL ESTADO</t>
  </si>
  <si>
    <t>EFE SUR</t>
  </si>
  <si>
    <t>39 P. 9</t>
  </si>
  <si>
    <t>39 P. 20</t>
  </si>
  <si>
    <t>CONDICIÓN DE LA VÍA, TROCHA, Y DURMIENTES EN MAL ESTADO.</t>
  </si>
  <si>
    <t>40 P. 1</t>
  </si>
  <si>
    <t>40 P. 7</t>
  </si>
  <si>
    <t>43 P. 4</t>
  </si>
  <si>
    <t>43 P. 9</t>
  </si>
  <si>
    <t>PASAJEROS 30 km/h, CARGA 20 km/h</t>
  </si>
  <si>
    <t>CONDICIÓN DE LA VÍA, TROCHA. HALLAZGO MRV.</t>
  </si>
  <si>
    <t>CARLOS SOTO PINCHEIRA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</si>
</sst>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u/>
      <sz val="11"/>
      <name val="Calibri"/>
      <family val="2"/>
    </font>
    <font>
      <b/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6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.5"/>
      <color indexed="8"/>
      <name val="Calibri"/>
      <family val="2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u/>
      <sz val="10.5"/>
      <color theme="1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14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6"/>
      <color theme="0"/>
      <name val="Calibri"/>
      <family val="2"/>
    </font>
    <font>
      <b/>
      <u/>
      <sz val="16"/>
      <color theme="0"/>
      <name val="Calibri"/>
      <family val="2"/>
    </font>
    <font>
      <b/>
      <sz val="18"/>
      <color rgb="FFC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</cellStyleXfs>
  <cellXfs count="162">
    <xf numFmtId="0" fontId="0" fillId="0" borderId="0" xfId="0"/>
    <xf numFmtId="0" fontId="6" fillId="0" borderId="0" xfId="0" applyFont="1"/>
    <xf numFmtId="0" fontId="12" fillId="2" borderId="0" xfId="1" applyFont="1" applyFill="1" applyAlignment="1">
      <alignment horizontal="center" vertical="center" wrapText="1"/>
    </xf>
    <xf numFmtId="1" fontId="12" fillId="2" borderId="0" xfId="1" applyNumberFormat="1" applyFont="1" applyFill="1" applyAlignment="1">
      <alignment horizontal="center" vertical="center" wrapText="1"/>
    </xf>
    <xf numFmtId="20" fontId="12" fillId="2" borderId="0" xfId="1" applyNumberFormat="1" applyFont="1" applyFill="1" applyAlignment="1">
      <alignment horizontal="center" vertical="center" wrapText="1"/>
    </xf>
    <xf numFmtId="165" fontId="12" fillId="2" borderId="0" xfId="1" applyNumberFormat="1" applyFont="1" applyFill="1" applyAlignment="1">
      <alignment horizontal="center" vertical="center"/>
    </xf>
    <xf numFmtId="165" fontId="12" fillId="2" borderId="0" xfId="1" applyNumberFormat="1" applyFont="1" applyFill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0" xfId="1" applyFont="1" applyBorder="1"/>
    <xf numFmtId="0" fontId="8" fillId="0" borderId="20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19" fillId="0" borderId="20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0" fontId="2" fillId="4" borderId="22" xfId="1" applyFont="1" applyFill="1" applyBorder="1" applyAlignment="1">
      <alignment vertical="center" wrapText="1"/>
    </xf>
    <xf numFmtId="0" fontId="2" fillId="4" borderId="23" xfId="1" applyFont="1" applyFill="1" applyBorder="1" applyAlignment="1">
      <alignment vertical="center" wrapText="1"/>
    </xf>
    <xf numFmtId="49" fontId="8" fillId="0" borderId="17" xfId="1" applyNumberFormat="1" applyFont="1" applyBorder="1" applyAlignment="1">
      <alignment vertical="center" wrapText="1"/>
    </xf>
    <xf numFmtId="164" fontId="10" fillId="0" borderId="17" xfId="1" applyNumberFormat="1" applyFont="1" applyBorder="1"/>
    <xf numFmtId="0" fontId="6" fillId="0" borderId="17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165" fontId="12" fillId="0" borderId="31" xfId="1" applyNumberFormat="1" applyFont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6" fillId="2" borderId="17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0" xfId="1" applyNumberFormat="1" applyFont="1" applyBorder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2" fillId="2" borderId="0" xfId="1" applyNumberFormat="1" applyFont="1" applyFill="1" applyAlignment="1">
      <alignment horizontal="center" vertical="center" wrapText="1"/>
    </xf>
    <xf numFmtId="166" fontId="6" fillId="0" borderId="0" xfId="0" applyNumberFormat="1" applyFont="1"/>
    <xf numFmtId="20" fontId="12" fillId="6" borderId="2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Border="1" applyAlignment="1">
      <alignment horizontal="center" vertical="center" wrapText="1"/>
    </xf>
    <xf numFmtId="0" fontId="15" fillId="5" borderId="36" xfId="1" applyFont="1" applyFill="1" applyBorder="1" applyAlignment="1">
      <alignment vertical="center" wrapText="1"/>
    </xf>
    <xf numFmtId="0" fontId="15" fillId="5" borderId="37" xfId="1" applyFont="1" applyFill="1" applyBorder="1" applyAlignment="1">
      <alignment vertical="center" wrapText="1"/>
    </xf>
    <xf numFmtId="0" fontId="15" fillId="5" borderId="38" xfId="1" applyFont="1" applyFill="1" applyBorder="1" applyAlignment="1">
      <alignment vertical="center" wrapText="1"/>
    </xf>
    <xf numFmtId="0" fontId="18" fillId="0" borderId="7" xfId="1" applyFont="1" applyBorder="1" applyAlignment="1">
      <alignment horizontal="center"/>
    </xf>
    <xf numFmtId="0" fontId="25" fillId="0" borderId="16" xfId="1" applyFont="1" applyBorder="1" applyAlignment="1">
      <alignment horizontal="center"/>
    </xf>
    <xf numFmtId="0" fontId="26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6" fillId="0" borderId="17" xfId="1" applyFont="1" applyBorder="1" applyAlignment="1">
      <alignment horizontal="center" wrapText="1"/>
    </xf>
    <xf numFmtId="0" fontId="6" fillId="0" borderId="0" xfId="0" applyFont="1" applyAlignment="1"/>
    <xf numFmtId="0" fontId="28" fillId="0" borderId="17" xfId="1" applyFont="1" applyBorder="1" applyAlignment="1">
      <alignment horizontal="center" wrapText="1"/>
    </xf>
    <xf numFmtId="0" fontId="28" fillId="0" borderId="0" xfId="0" applyFont="1" applyAlignment="1"/>
    <xf numFmtId="0" fontId="7" fillId="2" borderId="39" xfId="1" applyFont="1" applyFill="1" applyBorder="1" applyAlignment="1">
      <alignment horizontal="center" vertical="center" wrapText="1"/>
    </xf>
    <xf numFmtId="14" fontId="11" fillId="2" borderId="40" xfId="1" applyNumberFormat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center" vertical="center" wrapText="1"/>
    </xf>
    <xf numFmtId="166" fontId="11" fillId="2" borderId="40" xfId="1" applyNumberFormat="1" applyFont="1" applyFill="1" applyBorder="1" applyAlignment="1">
      <alignment horizontal="center" vertical="center" wrapText="1"/>
    </xf>
    <xf numFmtId="20" fontId="11" fillId="2" borderId="41" xfId="1" applyNumberFormat="1" applyFont="1" applyFill="1" applyBorder="1" applyAlignment="1">
      <alignment horizontal="center" vertical="center" wrapText="1"/>
    </xf>
    <xf numFmtId="165" fontId="11" fillId="2" borderId="40" xfId="1" applyNumberFormat="1" applyFont="1" applyFill="1" applyBorder="1" applyAlignment="1">
      <alignment horizontal="center" vertical="center"/>
    </xf>
    <xf numFmtId="165" fontId="11" fillId="2" borderId="42" xfId="1" applyNumberFormat="1" applyFont="1" applyFill="1" applyBorder="1" applyAlignment="1">
      <alignment horizontal="center" vertical="center"/>
    </xf>
    <xf numFmtId="0" fontId="14" fillId="0" borderId="0" xfId="1" applyFont="1" applyBorder="1" applyAlignment="1">
      <alignment vertical="center" wrapText="1"/>
    </xf>
    <xf numFmtId="0" fontId="12" fillId="0" borderId="0" xfId="1" applyFont="1" applyBorder="1" applyAlignment="1">
      <alignment vertical="center" wrapText="1"/>
    </xf>
    <xf numFmtId="0" fontId="18" fillId="0" borderId="14" xfId="1" applyFont="1" applyBorder="1" applyAlignment="1">
      <alignment horizontal="center"/>
    </xf>
    <xf numFmtId="0" fontId="18" fillId="0" borderId="18" xfId="1" applyFont="1" applyBorder="1" applyAlignment="1">
      <alignment horizontal="center"/>
    </xf>
    <xf numFmtId="0" fontId="5" fillId="0" borderId="7" xfId="1" applyFont="1" applyBorder="1" applyAlignment="1">
      <alignment horizontal="left"/>
    </xf>
    <xf numFmtId="166" fontId="6" fillId="0" borderId="7" xfId="1" applyNumberFormat="1" applyFont="1" applyBorder="1"/>
    <xf numFmtId="0" fontId="6" fillId="0" borderId="7" xfId="1" applyFont="1" applyBorder="1"/>
    <xf numFmtId="0" fontId="5" fillId="0" borderId="6" xfId="1" applyFont="1" applyBorder="1" applyAlignment="1">
      <alignment horizontal="left"/>
    </xf>
    <xf numFmtId="14" fontId="5" fillId="0" borderId="6" xfId="1" applyNumberFormat="1" applyFont="1" applyBorder="1" applyAlignment="1">
      <alignment horizontal="center" wrapText="1"/>
    </xf>
    <xf numFmtId="166" fontId="6" fillId="0" borderId="6" xfId="1" applyNumberFormat="1" applyFont="1" applyBorder="1" applyAlignment="1"/>
    <xf numFmtId="0" fontId="6" fillId="0" borderId="0" xfId="0" applyFont="1" applyBorder="1"/>
    <xf numFmtId="166" fontId="6" fillId="0" borderId="0" xfId="0" applyNumberFormat="1" applyFont="1" applyBorder="1"/>
    <xf numFmtId="0" fontId="7" fillId="0" borderId="36" xfId="1" applyFont="1" applyBorder="1" applyAlignment="1">
      <alignment horizontal="center" vertical="center" wrapText="1"/>
    </xf>
    <xf numFmtId="0" fontId="14" fillId="0" borderId="37" xfId="1" applyFont="1" applyBorder="1" applyAlignment="1">
      <alignment vertical="center" wrapText="1"/>
    </xf>
    <xf numFmtId="0" fontId="14" fillId="0" borderId="38" xfId="1" applyFont="1" applyBorder="1" applyAlignment="1">
      <alignment vertical="center" wrapText="1"/>
    </xf>
    <xf numFmtId="166" fontId="8" fillId="0" borderId="0" xfId="1" applyNumberFormat="1" applyFont="1" applyBorder="1" applyAlignment="1">
      <alignment vertical="center" wrapText="1"/>
    </xf>
    <xf numFmtId="0" fontId="8" fillId="0" borderId="0" xfId="1" applyFont="1" applyBorder="1" applyAlignment="1">
      <alignment vertical="center" wrapText="1"/>
    </xf>
    <xf numFmtId="49" fontId="18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23" fillId="7" borderId="0" xfId="0" applyFont="1" applyFill="1" applyBorder="1" applyAlignment="1"/>
    <xf numFmtId="0" fontId="31" fillId="7" borderId="0" xfId="0" applyFont="1" applyFill="1" applyBorder="1" applyAlignment="1"/>
    <xf numFmtId="0" fontId="31" fillId="7" borderId="0" xfId="0" applyFont="1" applyFill="1" applyBorder="1" applyAlignment="1">
      <alignment horizontal="center"/>
    </xf>
    <xf numFmtId="0" fontId="27" fillId="7" borderId="0" xfId="0" applyFont="1" applyFill="1" applyBorder="1" applyAlignment="1"/>
    <xf numFmtId="0" fontId="24" fillId="7" borderId="0" xfId="0" applyFont="1" applyFill="1" applyBorder="1" applyAlignment="1"/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9" fillId="7" borderId="0" xfId="3" applyFont="1" applyFill="1" applyBorder="1" applyAlignment="1"/>
    <xf numFmtId="166" fontId="28" fillId="0" borderId="0" xfId="1" applyNumberFormat="1" applyFont="1" applyBorder="1" applyAlignment="1"/>
    <xf numFmtId="0" fontId="28" fillId="0" borderId="0" xfId="1" applyFont="1" applyBorder="1" applyAlignment="1"/>
    <xf numFmtId="166" fontId="6" fillId="0" borderId="0" xfId="1" applyNumberFormat="1" applyFont="1" applyBorder="1" applyAlignment="1"/>
    <xf numFmtId="0" fontId="6" fillId="0" borderId="0" xfId="1" applyFont="1" applyBorder="1" applyAlignment="1"/>
    <xf numFmtId="0" fontId="24" fillId="7" borderId="0" xfId="0" applyFont="1" applyFill="1" applyBorder="1" applyAlignment="1">
      <alignment horizontal="center"/>
    </xf>
    <xf numFmtId="0" fontId="30" fillId="7" borderId="0" xfId="0" applyFont="1" applyFill="1" applyBorder="1" applyAlignment="1">
      <alignment horizontal="center"/>
    </xf>
    <xf numFmtId="0" fontId="26" fillId="0" borderId="18" xfId="1" applyFont="1" applyBorder="1" applyAlignment="1">
      <alignment horizontal="center"/>
    </xf>
    <xf numFmtId="0" fontId="6" fillId="0" borderId="7" xfId="1" applyFont="1" applyBorder="1" applyAlignment="1"/>
    <xf numFmtId="166" fontId="6" fillId="0" borderId="7" xfId="1" applyNumberFormat="1" applyFont="1" applyBorder="1" applyAlignment="1"/>
    <xf numFmtId="0" fontId="6" fillId="0" borderId="19" xfId="1" applyFont="1" applyBorder="1" applyAlignment="1">
      <alignment horizontal="center" wrapText="1"/>
    </xf>
    <xf numFmtId="0" fontId="13" fillId="9" borderId="36" xfId="1" applyFont="1" applyFill="1" applyBorder="1" applyAlignment="1">
      <alignment horizontal="center" vertical="center" wrapText="1"/>
    </xf>
    <xf numFmtId="0" fontId="13" fillId="9" borderId="37" xfId="1" applyFont="1" applyFill="1" applyBorder="1" applyAlignment="1">
      <alignment horizontal="center" vertical="center"/>
    </xf>
    <xf numFmtId="0" fontId="13" fillId="9" borderId="38" xfId="1" applyFont="1" applyFill="1" applyBorder="1" applyAlignment="1">
      <alignment horizontal="center" vertical="center"/>
    </xf>
    <xf numFmtId="0" fontId="15" fillId="5" borderId="37" xfId="1" applyFont="1" applyFill="1" applyBorder="1" applyAlignment="1">
      <alignment horizontal="center" vertical="center" wrapText="1"/>
    </xf>
    <xf numFmtId="0" fontId="35" fillId="6" borderId="36" xfId="1" applyFont="1" applyFill="1" applyBorder="1" applyAlignment="1">
      <alignment horizontal="center" vertical="center" wrapText="1"/>
    </xf>
    <xf numFmtId="0" fontId="15" fillId="6" borderId="37" xfId="1" applyFont="1" applyFill="1" applyBorder="1" applyAlignment="1">
      <alignment horizontal="center" vertical="center" wrapText="1"/>
    </xf>
    <xf numFmtId="0" fontId="15" fillId="6" borderId="38" xfId="1" applyFont="1" applyFill="1" applyBorder="1" applyAlignment="1">
      <alignment horizontal="center" vertical="center" wrapText="1"/>
    </xf>
    <xf numFmtId="0" fontId="37" fillId="8" borderId="36" xfId="1" applyFont="1" applyFill="1" applyBorder="1" applyAlignment="1">
      <alignment horizontal="center" vertical="center" wrapText="1"/>
    </xf>
    <xf numFmtId="0" fontId="37" fillId="8" borderId="37" xfId="1" applyFont="1" applyFill="1" applyBorder="1" applyAlignment="1">
      <alignment horizontal="center" vertical="center" wrapText="1"/>
    </xf>
    <xf numFmtId="0" fontId="37" fillId="8" borderId="38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33" xfId="1" applyFont="1" applyFill="1" applyBorder="1" applyAlignment="1">
      <alignment horizontal="center" vertical="center" wrapText="1"/>
    </xf>
    <xf numFmtId="0" fontId="8" fillId="3" borderId="35" xfId="1" applyFont="1" applyFill="1" applyBorder="1" applyAlignment="1">
      <alignment horizontal="center" vertical="center" wrapText="1"/>
    </xf>
    <xf numFmtId="165" fontId="8" fillId="3" borderId="34" xfId="1" applyNumberFormat="1" applyFont="1" applyFill="1" applyBorder="1" applyAlignment="1">
      <alignment horizontal="center" vertical="center" wrapText="1"/>
    </xf>
    <xf numFmtId="165" fontId="8" fillId="3" borderId="32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64" fontId="5" fillId="4" borderId="23" xfId="1" applyNumberFormat="1" applyFont="1" applyFill="1" applyBorder="1" applyAlignment="1">
      <alignment horizontal="center" vertical="center"/>
    </xf>
    <xf numFmtId="164" fontId="5" fillId="4" borderId="24" xfId="1" applyNumberFormat="1" applyFont="1" applyFill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20" fillId="4" borderId="2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8" fillId="3" borderId="14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1" fillId="0" borderId="2" xfId="1" applyNumberFormat="1" applyFont="1" applyBorder="1" applyAlignment="1">
      <alignment horizontal="center" vertical="center"/>
    </xf>
    <xf numFmtId="0" fontId="31" fillId="7" borderId="0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4" fillId="7" borderId="0" xfId="0" applyFont="1" applyFill="1" applyBorder="1" applyAlignment="1">
      <alignment horizontal="center"/>
    </xf>
    <xf numFmtId="0" fontId="8" fillId="3" borderId="28" xfId="1" applyFont="1" applyFill="1" applyBorder="1" applyAlignment="1">
      <alignment horizontal="center" vertical="center" wrapText="1"/>
    </xf>
    <xf numFmtId="0" fontId="8" fillId="3" borderId="29" xfId="1" applyFont="1" applyFill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30" fillId="7" borderId="0" xfId="0" applyFont="1" applyFill="1" applyBorder="1" applyAlignment="1">
      <alignment horizontal="center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</cellStyles>
  <dxfs count="5"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9CD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>
    <xdr:from>
      <xdr:col>5</xdr:col>
      <xdr:colOff>76200</xdr:colOff>
      <xdr:row>62</xdr:row>
      <xdr:rowOff>77320</xdr:rowOff>
    </xdr:from>
    <xdr:to>
      <xdr:col>7</xdr:col>
      <xdr:colOff>3207683</xdr:colOff>
      <xdr:row>62</xdr:row>
      <xdr:rowOff>1704975</xdr:rowOff>
    </xdr:to>
    <xdr:sp macro="" textlink="">
      <xdr:nvSpPr>
        <xdr:cNvPr id="785" name="784 CuadroTexto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4457700" y="19984570"/>
          <a:ext cx="5560358" cy="162765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s-CL" sz="1400" b="1" u="sng"/>
            <a:t>VELOCIDADES DE PASO POR PaN CON SLA Y GUARDA CRUZADA</a:t>
          </a:r>
        </a:p>
        <a:p>
          <a:pPr algn="ctr"/>
          <a:r>
            <a:rPr lang="es-C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(SOLO TREN PASAJEROS)</a:t>
          </a:r>
        </a:p>
        <a:p>
          <a:pPr algn="ctr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		UBICACIÓN		VELOCIDAD</a:t>
          </a:r>
          <a:r>
            <a:rPr lang="es-CL" sz="1200" u="sng"/>
            <a:t> </a:t>
          </a: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 LOS  ACACIOS, ( TL )	PK. 24,537		30 KM/HR</a:t>
          </a:r>
        </a:p>
        <a:p>
          <a:pPr algn="ctr"/>
          <a:endParaRPr lang="es-CL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 UNIHUE		PK. 29,070	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15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KM/HR</a:t>
          </a:r>
        </a:p>
        <a:p>
          <a:pPr algn="ctr"/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 SAN MIGUEL	PK.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34,100</a:t>
          </a: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3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KM/HR</a:t>
          </a:r>
          <a:endParaRPr lang="es-CL" sz="1100"/>
        </a:p>
      </xdr:txBody>
    </xdr:sp>
    <xdr:clientData/>
  </xdr:two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6825" cy="72317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6" name="784 CuadroTexto">
          <a:extLst>
            <a:ext uri="{FF2B5EF4-FFF2-40B4-BE49-F238E27FC236}">
              <a16:creationId xmlns:a16="http://schemas.microsoft.com/office/drawing/2014/main" id="{B8386D9D-29BA-4CB2-A725-17F107AEAAAC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38100</xdr:rowOff>
    </xdr:from>
    <xdr:to>
      <xdr:col>5</xdr:col>
      <xdr:colOff>600075</xdr:colOff>
      <xdr:row>15</xdr:row>
      <xdr:rowOff>922338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25ECBC3-F463-4916-A8E4-49EDD16F61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67050"/>
          <a:ext cx="4695825" cy="890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rolador.sser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t.con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36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1"/>
      <c r="B1" s="22"/>
      <c r="C1" s="22"/>
      <c r="D1" s="22"/>
      <c r="E1" s="135" t="s">
        <v>23</v>
      </c>
      <c r="F1" s="135"/>
      <c r="G1" s="135"/>
      <c r="H1" s="135"/>
      <c r="I1" s="22"/>
      <c r="J1" s="129">
        <v>46325</v>
      </c>
      <c r="K1" s="129"/>
      <c r="L1" s="129"/>
      <c r="M1" s="130"/>
    </row>
    <row r="2" spans="1:13" ht="13.5" customHeight="1" thickTop="1" x14ac:dyDescent="0.25">
      <c r="A2" s="131"/>
      <c r="B2" s="132"/>
      <c r="C2" s="19"/>
      <c r="D2" s="16"/>
      <c r="E2" s="32"/>
      <c r="F2" s="72"/>
      <c r="G2" s="17"/>
      <c r="H2" s="73"/>
      <c r="I2" s="133"/>
      <c r="J2" s="133"/>
      <c r="K2" s="133"/>
      <c r="L2" s="133"/>
      <c r="M2" s="134"/>
    </row>
    <row r="3" spans="1:13" ht="18" customHeight="1" x14ac:dyDescent="0.25">
      <c r="A3" s="137"/>
      <c r="B3" s="138"/>
      <c r="C3" s="74"/>
      <c r="D3" s="75"/>
      <c r="E3" s="136" t="s">
        <v>22</v>
      </c>
      <c r="F3" s="136"/>
      <c r="G3" s="30" t="s">
        <v>21</v>
      </c>
      <c r="H3" s="30" t="s">
        <v>20</v>
      </c>
      <c r="I3" s="67"/>
      <c r="J3" s="76"/>
      <c r="K3" s="76"/>
      <c r="L3" s="76"/>
      <c r="M3" s="23"/>
    </row>
    <row r="4" spans="1:13" ht="23.25" x14ac:dyDescent="0.35">
      <c r="A4" s="139"/>
      <c r="B4" s="140"/>
      <c r="C4" s="77"/>
      <c r="D4" s="78"/>
      <c r="E4" s="147">
        <f ca="1">TODAY()</f>
        <v>46324</v>
      </c>
      <c r="F4" s="147"/>
      <c r="G4" s="31">
        <v>303</v>
      </c>
      <c r="H4" s="18" t="s">
        <v>169</v>
      </c>
      <c r="I4" s="79"/>
      <c r="J4" s="79"/>
      <c r="K4" s="79"/>
      <c r="L4" s="79"/>
      <c r="M4" s="24"/>
    </row>
    <row r="5" spans="1:13" ht="7.5" customHeight="1" x14ac:dyDescent="0.25">
      <c r="A5" s="141"/>
      <c r="B5" s="142"/>
      <c r="C5" s="80"/>
      <c r="D5" s="81"/>
      <c r="E5" s="82"/>
      <c r="F5" s="82"/>
      <c r="G5" s="81"/>
      <c r="H5" s="81"/>
      <c r="I5" s="81"/>
      <c r="J5" s="81"/>
      <c r="K5" s="81"/>
      <c r="L5" s="81"/>
      <c r="M5" s="25"/>
    </row>
    <row r="6" spans="1:13" s="47" customFormat="1" ht="18.75" customHeight="1" x14ac:dyDescent="0.25">
      <c r="A6" s="43"/>
      <c r="B6" s="83"/>
      <c r="C6" s="148" t="s">
        <v>25</v>
      </c>
      <c r="D6" s="148"/>
      <c r="E6" s="84"/>
      <c r="F6" s="148" t="s">
        <v>28</v>
      </c>
      <c r="G6" s="148"/>
      <c r="H6" s="85" t="s">
        <v>29</v>
      </c>
      <c r="I6" s="148" t="s">
        <v>30</v>
      </c>
      <c r="J6" s="148"/>
      <c r="K6" s="148"/>
      <c r="L6" s="148"/>
      <c r="M6" s="46"/>
    </row>
    <row r="7" spans="1:13" s="49" customFormat="1" ht="12.75" customHeight="1" x14ac:dyDescent="0.25">
      <c r="A7" s="44"/>
      <c r="B7" s="86"/>
      <c r="C7" s="151" t="s">
        <v>26</v>
      </c>
      <c r="D7" s="151"/>
      <c r="E7" s="87"/>
      <c r="F7" s="151" t="s">
        <v>31</v>
      </c>
      <c r="G7" s="151"/>
      <c r="H7" s="88" t="s">
        <v>35</v>
      </c>
      <c r="I7" s="149" t="s">
        <v>42</v>
      </c>
      <c r="J7" s="149"/>
      <c r="K7" s="149"/>
      <c r="L7" s="149"/>
      <c r="M7" s="48"/>
    </row>
    <row r="8" spans="1:13" s="49" customFormat="1" ht="12.75" customHeight="1" x14ac:dyDescent="0.25">
      <c r="A8" s="44"/>
      <c r="B8" s="86"/>
      <c r="C8" s="149" t="s">
        <v>43</v>
      </c>
      <c r="D8" s="149"/>
      <c r="E8" s="86"/>
      <c r="F8" s="149" t="s">
        <v>44</v>
      </c>
      <c r="G8" s="149"/>
      <c r="H8" s="89" t="s">
        <v>32</v>
      </c>
      <c r="I8" s="150" t="s">
        <v>33</v>
      </c>
      <c r="J8" s="150"/>
      <c r="K8" s="150"/>
      <c r="L8" s="150"/>
      <c r="M8" s="48"/>
    </row>
    <row r="9" spans="1:13" s="49" customFormat="1" ht="12.75" customHeight="1" x14ac:dyDescent="0.25">
      <c r="A9" s="44"/>
      <c r="B9" s="90"/>
      <c r="C9" s="150" t="s">
        <v>27</v>
      </c>
      <c r="D9" s="150"/>
      <c r="E9" s="91"/>
      <c r="F9" s="150" t="s">
        <v>45</v>
      </c>
      <c r="G9" s="161"/>
      <c r="H9" s="89"/>
      <c r="I9" s="92"/>
      <c r="J9" s="92"/>
      <c r="K9" s="92"/>
      <c r="L9" s="92"/>
      <c r="M9" s="48"/>
    </row>
    <row r="10" spans="1:13" s="47" customFormat="1" ht="21.75" customHeight="1" x14ac:dyDescent="0.25">
      <c r="A10" s="44"/>
      <c r="B10" s="45"/>
      <c r="C10" s="148" t="s">
        <v>36</v>
      </c>
      <c r="D10" s="148"/>
      <c r="E10" s="93"/>
      <c r="F10" s="148" t="s">
        <v>38</v>
      </c>
      <c r="G10" s="148"/>
      <c r="H10" s="85" t="s">
        <v>13</v>
      </c>
      <c r="I10" s="85"/>
      <c r="J10" s="94"/>
      <c r="K10" s="94"/>
      <c r="L10" s="94"/>
      <c r="M10" s="46"/>
    </row>
    <row r="11" spans="1:13" s="47" customFormat="1" ht="12.75" customHeight="1" x14ac:dyDescent="0.25">
      <c r="A11" s="44"/>
      <c r="B11" s="45"/>
      <c r="C11" s="151" t="s">
        <v>41</v>
      </c>
      <c r="D11" s="151"/>
      <c r="E11" s="93"/>
      <c r="F11" s="151" t="s">
        <v>40</v>
      </c>
      <c r="G11" s="151"/>
      <c r="H11" s="95" t="s">
        <v>14</v>
      </c>
      <c r="I11" s="95"/>
      <c r="J11" s="94"/>
      <c r="K11" s="94"/>
      <c r="L11" s="94"/>
      <c r="M11" s="46"/>
    </row>
    <row r="12" spans="1:13" s="47" customFormat="1" ht="12.75" customHeight="1" x14ac:dyDescent="0.25">
      <c r="A12" s="44"/>
      <c r="B12" s="45"/>
      <c r="C12" s="149" t="s">
        <v>37</v>
      </c>
      <c r="D12" s="149"/>
      <c r="E12" s="93"/>
      <c r="F12" s="149" t="s">
        <v>39</v>
      </c>
      <c r="G12" s="149"/>
      <c r="H12" s="88" t="s">
        <v>34</v>
      </c>
      <c r="I12" s="96"/>
      <c r="J12" s="94"/>
      <c r="K12" s="94"/>
      <c r="L12" s="94"/>
      <c r="M12" s="46"/>
    </row>
    <row r="13" spans="1:13" s="47" customFormat="1" ht="9" customHeight="1" thickBot="1" x14ac:dyDescent="0.3">
      <c r="A13" s="97"/>
      <c r="B13" s="42"/>
      <c r="C13" s="20"/>
      <c r="D13" s="98"/>
      <c r="E13" s="99"/>
      <c r="F13" s="99"/>
      <c r="G13" s="98"/>
      <c r="H13" s="98"/>
      <c r="I13" s="98"/>
      <c r="J13" s="98"/>
      <c r="K13" s="98"/>
      <c r="L13" s="98"/>
      <c r="M13" s="100"/>
    </row>
    <row r="14" spans="1:13" ht="22.5" customHeight="1" thickBot="1" x14ac:dyDescent="0.3">
      <c r="A14" s="39"/>
      <c r="B14" s="40"/>
      <c r="C14" s="40"/>
      <c r="D14" s="104" t="s">
        <v>47</v>
      </c>
      <c r="E14" s="104"/>
      <c r="F14" s="104"/>
      <c r="G14" s="104"/>
      <c r="H14" s="104"/>
      <c r="I14" s="104"/>
      <c r="J14" s="104"/>
      <c r="K14" s="40"/>
      <c r="L14" s="40"/>
      <c r="M14" s="41"/>
    </row>
    <row r="15" spans="1:13" s="47" customFormat="1" ht="15.75" customHeight="1" x14ac:dyDescent="0.25">
      <c r="A15" s="59"/>
      <c r="B15" s="64" t="s">
        <v>48</v>
      </c>
      <c r="C15" s="65"/>
      <c r="D15" s="64"/>
      <c r="E15" s="66"/>
      <c r="F15" s="66"/>
      <c r="G15" s="64"/>
      <c r="H15" s="111" t="s">
        <v>49</v>
      </c>
      <c r="I15" s="111"/>
      <c r="J15" s="111"/>
      <c r="K15" s="111"/>
      <c r="L15" s="111"/>
      <c r="M15" s="112"/>
    </row>
    <row r="16" spans="1:13" ht="78.75" customHeight="1" thickBot="1" x14ac:dyDescent="0.3">
      <c r="A16" s="60"/>
      <c r="B16" s="61"/>
      <c r="C16" s="20"/>
      <c r="D16" s="61"/>
      <c r="E16" s="62"/>
      <c r="F16" s="62"/>
      <c r="G16" s="63"/>
      <c r="H16" s="113"/>
      <c r="I16" s="113"/>
      <c r="J16" s="113"/>
      <c r="K16" s="113"/>
      <c r="L16" s="113"/>
      <c r="M16" s="114"/>
    </row>
    <row r="17" spans="1:13" s="47" customFormat="1" ht="30" customHeight="1" thickBot="1" x14ac:dyDescent="0.3">
      <c r="A17" s="105" t="s">
        <v>46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7"/>
    </row>
    <row r="18" spans="1:13" s="47" customFormat="1" ht="30" customHeight="1" thickBot="1" x14ac:dyDescent="0.3">
      <c r="A18" s="108" t="s">
        <v>52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</row>
    <row r="19" spans="1:13" ht="67.5" customHeight="1" thickBot="1" x14ac:dyDescent="0.3">
      <c r="A19" s="101" t="s">
        <v>51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3"/>
    </row>
    <row r="20" spans="1:13" ht="4.5" customHeight="1" thickBot="1" x14ac:dyDescent="0.3">
      <c r="A20" s="50"/>
      <c r="B20" s="51"/>
      <c r="C20" s="52"/>
      <c r="D20" s="52"/>
      <c r="E20" s="53"/>
      <c r="F20" s="53"/>
      <c r="G20" s="52"/>
      <c r="H20" s="52"/>
      <c r="I20" s="54"/>
      <c r="J20" s="54"/>
      <c r="K20" s="55"/>
      <c r="L20" s="55"/>
      <c r="M20" s="56"/>
    </row>
    <row r="21" spans="1:13" ht="22.5" customHeight="1" thickBot="1" x14ac:dyDescent="0.3">
      <c r="A21" s="39"/>
      <c r="B21" s="40"/>
      <c r="C21" s="40"/>
      <c r="D21" s="104" t="s">
        <v>9</v>
      </c>
      <c r="E21" s="104"/>
      <c r="F21" s="104"/>
      <c r="G21" s="104"/>
      <c r="H21" s="104"/>
      <c r="I21" s="104"/>
      <c r="J21" s="104"/>
      <c r="K21" s="40"/>
      <c r="L21" s="40"/>
      <c r="M21" s="41"/>
    </row>
    <row r="22" spans="1:13" ht="18" customHeight="1" x14ac:dyDescent="0.25">
      <c r="A22" s="143" t="s">
        <v>5</v>
      </c>
      <c r="B22" s="159" t="s">
        <v>0</v>
      </c>
      <c r="C22" s="160"/>
      <c r="D22" s="145" t="s">
        <v>11</v>
      </c>
      <c r="E22" s="115" t="s">
        <v>6</v>
      </c>
      <c r="F22" s="116"/>
      <c r="G22" s="145" t="s">
        <v>18</v>
      </c>
      <c r="H22" s="145" t="s">
        <v>7</v>
      </c>
      <c r="I22" s="156" t="s">
        <v>3</v>
      </c>
      <c r="J22" s="157"/>
      <c r="K22" s="158" t="s">
        <v>4</v>
      </c>
      <c r="L22" s="157"/>
      <c r="M22" s="152" t="s">
        <v>15</v>
      </c>
    </row>
    <row r="23" spans="1:13" ht="18" customHeight="1" x14ac:dyDescent="0.25">
      <c r="A23" s="144"/>
      <c r="B23" s="8" t="s">
        <v>1</v>
      </c>
      <c r="C23" s="8" t="s">
        <v>2</v>
      </c>
      <c r="D23" s="146"/>
      <c r="E23" s="33" t="s">
        <v>1</v>
      </c>
      <c r="F23" s="33" t="s">
        <v>2</v>
      </c>
      <c r="G23" s="146"/>
      <c r="H23" s="146"/>
      <c r="I23" s="14" t="s">
        <v>8</v>
      </c>
      <c r="J23" s="15" t="s">
        <v>17</v>
      </c>
      <c r="K23" s="15" t="s">
        <v>8</v>
      </c>
      <c r="L23" s="15" t="s">
        <v>17</v>
      </c>
      <c r="M23" s="153"/>
    </row>
    <row r="24" spans="1:13" ht="30" x14ac:dyDescent="0.25">
      <c r="A24" s="26" cm="1">
        <f t="array" aca="1" ref="A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4" s="11" t="s">
        <v>53</v>
      </c>
      <c r="C24" s="10" t="s">
        <v>61</v>
      </c>
      <c r="D24" s="10" t="s">
        <v>97</v>
      </c>
      <c r="E24" s="34" t="s">
        <v>98</v>
      </c>
      <c r="F24" s="34" t="s">
        <v>99</v>
      </c>
      <c r="G24" s="10" t="s">
        <v>100</v>
      </c>
      <c r="H24" s="10" t="s">
        <v>101</v>
      </c>
      <c r="I24" s="12">
        <v>0</v>
      </c>
      <c r="J24" s="12">
        <v>0.99930555555555556</v>
      </c>
      <c r="K24" s="13">
        <v>46275</v>
      </c>
      <c r="L24" s="13" t="s">
        <v>102</v>
      </c>
      <c r="M24" s="27" t="s">
        <v>103</v>
      </c>
    </row>
    <row r="25" spans="1:13" ht="30" x14ac:dyDescent="0.25">
      <c r="A25" s="26" cm="1">
        <f t="array" aca="1" ref="A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25" s="38" t="s">
        <v>53</v>
      </c>
      <c r="C25" s="10" t="s">
        <v>61</v>
      </c>
      <c r="D25" s="10" t="s">
        <v>66</v>
      </c>
      <c r="E25" s="34" t="s">
        <v>104</v>
      </c>
      <c r="F25" s="34" t="s">
        <v>105</v>
      </c>
      <c r="G25" s="10" t="s">
        <v>106</v>
      </c>
      <c r="H25" s="10" t="s">
        <v>107</v>
      </c>
      <c r="I25" s="12">
        <v>0</v>
      </c>
      <c r="J25" s="12">
        <v>0.99930555555555556</v>
      </c>
      <c r="K25" s="13">
        <v>45869</v>
      </c>
      <c r="L25" s="13" t="s">
        <v>102</v>
      </c>
      <c r="M25" s="27" t="s">
        <v>108</v>
      </c>
    </row>
    <row r="26" spans="1:13" ht="30" x14ac:dyDescent="0.25">
      <c r="A26" s="26" cm="1">
        <f t="array" aca="1" ref="A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26" s="11" t="s">
        <v>53</v>
      </c>
      <c r="C26" s="10" t="s">
        <v>61</v>
      </c>
      <c r="D26" s="10" t="s">
        <v>97</v>
      </c>
      <c r="E26" s="34" t="s">
        <v>109</v>
      </c>
      <c r="F26" s="34" t="s">
        <v>110</v>
      </c>
      <c r="G26" s="10" t="s">
        <v>100</v>
      </c>
      <c r="H26" s="10" t="s">
        <v>101</v>
      </c>
      <c r="I26" s="12">
        <v>0</v>
      </c>
      <c r="J26" s="12">
        <v>0.99930555555555556</v>
      </c>
      <c r="K26" s="13">
        <v>46275</v>
      </c>
      <c r="L26" s="13" t="s">
        <v>102</v>
      </c>
      <c r="M26" s="27" t="s">
        <v>103</v>
      </c>
    </row>
    <row r="27" spans="1:13" ht="45" x14ac:dyDescent="0.25">
      <c r="A27" s="26" cm="1">
        <f t="array" aca="1" ref="A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27" s="11" t="s">
        <v>53</v>
      </c>
      <c r="C27" s="10" t="s">
        <v>61</v>
      </c>
      <c r="D27" s="10" t="s">
        <v>66</v>
      </c>
      <c r="E27" s="34" t="s">
        <v>67</v>
      </c>
      <c r="F27" s="34" t="s">
        <v>68</v>
      </c>
      <c r="G27" s="10" t="s">
        <v>111</v>
      </c>
      <c r="H27" s="10" t="s">
        <v>69</v>
      </c>
      <c r="I27" s="12">
        <v>0.375</v>
      </c>
      <c r="J27" s="12">
        <v>0.54166666666666663</v>
      </c>
      <c r="K27" s="13">
        <v>46325</v>
      </c>
      <c r="L27" s="13">
        <v>46325</v>
      </c>
      <c r="M27" s="27" t="s">
        <v>112</v>
      </c>
    </row>
    <row r="28" spans="1:13" ht="30" x14ac:dyDescent="0.25">
      <c r="A28" s="26" cm="1">
        <f t="array" aca="1" ref="A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28" s="11" t="s">
        <v>61</v>
      </c>
      <c r="C28" s="10" t="s">
        <v>61</v>
      </c>
      <c r="D28" s="10" t="s">
        <v>113</v>
      </c>
      <c r="E28" s="34" t="s">
        <v>114</v>
      </c>
      <c r="F28" s="34" t="s">
        <v>110</v>
      </c>
      <c r="G28" s="10" t="s">
        <v>115</v>
      </c>
      <c r="H28" s="10" t="s">
        <v>116</v>
      </c>
      <c r="I28" s="12">
        <v>0</v>
      </c>
      <c r="J28" s="12">
        <v>0.99930555555555556</v>
      </c>
      <c r="K28" s="13">
        <v>43999</v>
      </c>
      <c r="L28" s="13" t="s">
        <v>102</v>
      </c>
      <c r="M28" s="27" t="s">
        <v>117</v>
      </c>
    </row>
    <row r="29" spans="1:13" ht="45" x14ac:dyDescent="0.25">
      <c r="A29" s="26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29" s="11" t="s">
        <v>61</v>
      </c>
      <c r="C29" s="10" t="s">
        <v>61</v>
      </c>
      <c r="D29" s="10" t="s">
        <v>118</v>
      </c>
      <c r="E29" s="34" t="s">
        <v>119</v>
      </c>
      <c r="F29" s="34" t="s">
        <v>120</v>
      </c>
      <c r="G29" s="10" t="s">
        <v>121</v>
      </c>
      <c r="H29" s="10" t="s">
        <v>122</v>
      </c>
      <c r="I29" s="12">
        <v>0</v>
      </c>
      <c r="J29" s="12">
        <v>0.99930555555555556</v>
      </c>
      <c r="K29" s="13">
        <v>45294</v>
      </c>
      <c r="L29" s="13" t="s">
        <v>102</v>
      </c>
      <c r="M29" s="27" t="s">
        <v>123</v>
      </c>
    </row>
    <row r="30" spans="1:13" ht="45" x14ac:dyDescent="0.25">
      <c r="A30" s="26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0" s="11" t="s">
        <v>61</v>
      </c>
      <c r="C30" s="10" t="s">
        <v>61</v>
      </c>
      <c r="D30" s="10" t="s">
        <v>124</v>
      </c>
      <c r="E30" s="34" t="s">
        <v>125</v>
      </c>
      <c r="F30" s="34" t="s">
        <v>126</v>
      </c>
      <c r="G30" s="10" t="s">
        <v>102</v>
      </c>
      <c r="H30" s="10" t="s">
        <v>127</v>
      </c>
      <c r="I30" s="12">
        <v>0</v>
      </c>
      <c r="J30" s="12">
        <v>0.99930555555555556</v>
      </c>
      <c r="K30" s="13">
        <v>46287</v>
      </c>
      <c r="L30" s="13" t="s">
        <v>102</v>
      </c>
      <c r="M30" s="27" t="s">
        <v>108</v>
      </c>
    </row>
    <row r="31" spans="1:13" ht="30" x14ac:dyDescent="0.25">
      <c r="A31" s="26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1" s="11" t="s">
        <v>61</v>
      </c>
      <c r="C31" s="10" t="s">
        <v>71</v>
      </c>
      <c r="D31" s="10" t="s">
        <v>66</v>
      </c>
      <c r="E31" s="34" t="s">
        <v>128</v>
      </c>
      <c r="F31" s="34" t="s">
        <v>129</v>
      </c>
      <c r="G31" s="10" t="s">
        <v>130</v>
      </c>
      <c r="H31" s="10" t="s">
        <v>131</v>
      </c>
      <c r="I31" s="12">
        <v>0</v>
      </c>
      <c r="J31" s="12">
        <v>0.99930555555555556</v>
      </c>
      <c r="K31" s="13">
        <v>46254</v>
      </c>
      <c r="L31" s="13" t="s">
        <v>102</v>
      </c>
      <c r="M31" s="27" t="s">
        <v>132</v>
      </c>
    </row>
    <row r="32" spans="1:13" ht="30" x14ac:dyDescent="0.25">
      <c r="A32" s="26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2" s="11" t="s">
        <v>61</v>
      </c>
      <c r="C32" s="10" t="s">
        <v>71</v>
      </c>
      <c r="D32" s="10" t="s">
        <v>97</v>
      </c>
      <c r="E32" s="34" t="s">
        <v>133</v>
      </c>
      <c r="F32" s="34" t="s">
        <v>134</v>
      </c>
      <c r="G32" s="10" t="s">
        <v>100</v>
      </c>
      <c r="H32" s="10" t="s">
        <v>101</v>
      </c>
      <c r="I32" s="12">
        <v>0</v>
      </c>
      <c r="J32" s="12">
        <v>0.99930555555555556</v>
      </c>
      <c r="K32" s="13">
        <v>46275</v>
      </c>
      <c r="L32" s="13" t="s">
        <v>102</v>
      </c>
      <c r="M32" s="27" t="s">
        <v>103</v>
      </c>
    </row>
    <row r="33" spans="1:13" ht="60" x14ac:dyDescent="0.25">
      <c r="A33" s="26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3" s="11" t="s">
        <v>71</v>
      </c>
      <c r="C33" s="10" t="s">
        <v>71</v>
      </c>
      <c r="D33" s="10" t="s">
        <v>118</v>
      </c>
      <c r="E33" s="34" t="s">
        <v>135</v>
      </c>
      <c r="F33" s="34" t="s">
        <v>136</v>
      </c>
      <c r="G33" s="10" t="s">
        <v>121</v>
      </c>
      <c r="H33" s="10" t="s">
        <v>137</v>
      </c>
      <c r="I33" s="12">
        <v>0</v>
      </c>
      <c r="J33" s="12">
        <v>0.99930555555555556</v>
      </c>
      <c r="K33" s="13">
        <v>45064</v>
      </c>
      <c r="L33" s="13" t="s">
        <v>102</v>
      </c>
      <c r="M33" s="27" t="s">
        <v>123</v>
      </c>
    </row>
    <row r="34" spans="1:13" ht="30" x14ac:dyDescent="0.25">
      <c r="A34" s="26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4" s="11" t="s">
        <v>71</v>
      </c>
      <c r="C34" s="10" t="s">
        <v>71</v>
      </c>
      <c r="D34" s="10" t="s">
        <v>97</v>
      </c>
      <c r="E34" s="34" t="s">
        <v>138</v>
      </c>
      <c r="F34" s="34" t="s">
        <v>139</v>
      </c>
      <c r="G34" s="10" t="s">
        <v>140</v>
      </c>
      <c r="H34" s="10" t="s">
        <v>141</v>
      </c>
      <c r="I34" s="12">
        <v>0</v>
      </c>
      <c r="J34" s="12">
        <v>0.99930555555555556</v>
      </c>
      <c r="K34" s="13">
        <v>46275</v>
      </c>
      <c r="L34" s="13" t="s">
        <v>102</v>
      </c>
      <c r="M34" s="27" t="s">
        <v>117</v>
      </c>
    </row>
    <row r="35" spans="1:13" ht="30" x14ac:dyDescent="0.25">
      <c r="A35" s="26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35" s="11" t="s">
        <v>71</v>
      </c>
      <c r="C35" s="10" t="s">
        <v>71</v>
      </c>
      <c r="D35" s="10" t="s">
        <v>97</v>
      </c>
      <c r="E35" s="34" t="s">
        <v>142</v>
      </c>
      <c r="F35" s="34" t="s">
        <v>143</v>
      </c>
      <c r="G35" s="10" t="s">
        <v>144</v>
      </c>
      <c r="H35" s="10" t="s">
        <v>145</v>
      </c>
      <c r="I35" s="12">
        <v>0</v>
      </c>
      <c r="J35" s="12">
        <v>0.99930555555555556</v>
      </c>
      <c r="K35" s="13">
        <v>46274</v>
      </c>
      <c r="L35" s="13" t="s">
        <v>102</v>
      </c>
      <c r="M35" s="27" t="s">
        <v>103</v>
      </c>
    </row>
    <row r="36" spans="1:13" ht="45" x14ac:dyDescent="0.25">
      <c r="A36" s="26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36" s="11" t="s">
        <v>74</v>
      </c>
      <c r="C36" s="10" t="s">
        <v>74</v>
      </c>
      <c r="D36" s="10" t="s">
        <v>118</v>
      </c>
      <c r="E36" s="34" t="s">
        <v>146</v>
      </c>
      <c r="F36" s="34" t="s">
        <v>147</v>
      </c>
      <c r="G36" s="10" t="s">
        <v>121</v>
      </c>
      <c r="H36" s="10" t="s">
        <v>148</v>
      </c>
      <c r="I36" s="12">
        <v>0</v>
      </c>
      <c r="J36" s="12">
        <v>0.99930555555555556</v>
      </c>
      <c r="K36" s="13">
        <v>45294</v>
      </c>
      <c r="L36" s="13" t="s">
        <v>102</v>
      </c>
      <c r="M36" s="27" t="s">
        <v>123</v>
      </c>
    </row>
    <row r="37" spans="1:13" ht="30" x14ac:dyDescent="0.25">
      <c r="A37" s="26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37" s="11" t="s">
        <v>74</v>
      </c>
      <c r="C37" s="10" t="s">
        <v>54</v>
      </c>
      <c r="D37" s="10" t="s">
        <v>66</v>
      </c>
      <c r="E37" s="34" t="s">
        <v>149</v>
      </c>
      <c r="F37" s="34" t="s">
        <v>150</v>
      </c>
      <c r="G37" s="10" t="s">
        <v>130</v>
      </c>
      <c r="H37" s="10" t="s">
        <v>131</v>
      </c>
      <c r="I37" s="12">
        <v>0</v>
      </c>
      <c r="J37" s="12">
        <v>0.99930555555555556</v>
      </c>
      <c r="K37" s="13">
        <v>44524</v>
      </c>
      <c r="L37" s="13" t="s">
        <v>102</v>
      </c>
      <c r="M37" s="27" t="s">
        <v>123</v>
      </c>
    </row>
    <row r="38" spans="1:13" x14ac:dyDescent="0.25">
      <c r="A38" s="26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38" s="11" t="s">
        <v>54</v>
      </c>
      <c r="C38" s="10" t="s">
        <v>54</v>
      </c>
      <c r="D38" s="10" t="s">
        <v>124</v>
      </c>
      <c r="E38" s="34" t="s">
        <v>151</v>
      </c>
      <c r="F38" s="34" t="s">
        <v>152</v>
      </c>
      <c r="G38" s="10" t="s">
        <v>153</v>
      </c>
      <c r="H38" s="10" t="s">
        <v>153</v>
      </c>
      <c r="I38" s="12">
        <v>0</v>
      </c>
      <c r="J38" s="12">
        <v>0.99930555555555556</v>
      </c>
      <c r="K38" s="13">
        <v>41604</v>
      </c>
      <c r="L38" s="13" t="s">
        <v>102</v>
      </c>
      <c r="M38" s="27" t="s">
        <v>154</v>
      </c>
    </row>
    <row r="39" spans="1:13" x14ac:dyDescent="0.25">
      <c r="A39" s="26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39" s="11" t="s">
        <v>54</v>
      </c>
      <c r="C39" s="10" t="s">
        <v>54</v>
      </c>
      <c r="D39" s="10" t="s">
        <v>155</v>
      </c>
      <c r="E39" s="34" t="s">
        <v>156</v>
      </c>
      <c r="F39" s="34" t="s">
        <v>157</v>
      </c>
      <c r="G39" s="10" t="s">
        <v>115</v>
      </c>
      <c r="H39" s="10" t="s">
        <v>158</v>
      </c>
      <c r="I39" s="12">
        <v>0</v>
      </c>
      <c r="J39" s="12">
        <v>0.99930555555555556</v>
      </c>
      <c r="K39" s="13">
        <v>43091</v>
      </c>
      <c r="L39" s="13" t="s">
        <v>102</v>
      </c>
      <c r="M39" s="27" t="s">
        <v>159</v>
      </c>
    </row>
    <row r="40" spans="1:13" ht="30" x14ac:dyDescent="0.25">
      <c r="A40" s="26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0" s="11" t="s">
        <v>54</v>
      </c>
      <c r="C40" s="10" t="s">
        <v>76</v>
      </c>
      <c r="D40" s="10" t="s">
        <v>97</v>
      </c>
      <c r="E40" s="34" t="s">
        <v>160</v>
      </c>
      <c r="F40" s="34" t="s">
        <v>161</v>
      </c>
      <c r="G40" s="10" t="s">
        <v>100</v>
      </c>
      <c r="H40" s="10" t="s">
        <v>162</v>
      </c>
      <c r="I40" s="12">
        <v>0</v>
      </c>
      <c r="J40" s="12">
        <v>0.99930555555555556</v>
      </c>
      <c r="K40" s="13">
        <v>46275</v>
      </c>
      <c r="L40" s="13" t="s">
        <v>102</v>
      </c>
      <c r="M40" s="27" t="s">
        <v>103</v>
      </c>
    </row>
    <row r="41" spans="1:13" ht="30" x14ac:dyDescent="0.25">
      <c r="A41" s="26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1" s="11" t="s">
        <v>54</v>
      </c>
      <c r="C41" s="10" t="s">
        <v>76</v>
      </c>
      <c r="D41" s="10" t="s">
        <v>97</v>
      </c>
      <c r="E41" s="34" t="s">
        <v>163</v>
      </c>
      <c r="F41" s="34" t="s">
        <v>164</v>
      </c>
      <c r="G41" s="10" t="s">
        <v>100</v>
      </c>
      <c r="H41" s="10" t="s">
        <v>162</v>
      </c>
      <c r="I41" s="12">
        <v>0</v>
      </c>
      <c r="J41" s="12">
        <v>0.99930555555555556</v>
      </c>
      <c r="K41" s="13">
        <v>46275</v>
      </c>
      <c r="L41" s="13" t="s">
        <v>102</v>
      </c>
      <c r="M41" s="27" t="s">
        <v>103</v>
      </c>
    </row>
    <row r="42" spans="1:13" ht="30.75" thickBot="1" x14ac:dyDescent="0.3">
      <c r="A42" s="26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2" s="11" t="s">
        <v>54</v>
      </c>
      <c r="C42" s="10" t="s">
        <v>76</v>
      </c>
      <c r="D42" s="10" t="s">
        <v>97</v>
      </c>
      <c r="E42" s="34" t="s">
        <v>165</v>
      </c>
      <c r="F42" s="34" t="s">
        <v>166</v>
      </c>
      <c r="G42" s="10" t="s">
        <v>167</v>
      </c>
      <c r="H42" s="10" t="s">
        <v>168</v>
      </c>
      <c r="I42" s="12">
        <v>0</v>
      </c>
      <c r="J42" s="12">
        <v>0.99930555555555556</v>
      </c>
      <c r="K42" s="13">
        <v>46308</v>
      </c>
      <c r="L42" s="13" t="s">
        <v>102</v>
      </c>
      <c r="M42" s="27" t="s">
        <v>117</v>
      </c>
    </row>
    <row r="43" spans="1:13" ht="22.5" customHeight="1" thickBot="1" x14ac:dyDescent="0.3">
      <c r="A43" s="39"/>
      <c r="B43" s="40"/>
      <c r="C43" s="40"/>
      <c r="D43" s="104" t="s">
        <v>24</v>
      </c>
      <c r="E43" s="104"/>
      <c r="F43" s="104"/>
      <c r="G43" s="104"/>
      <c r="H43" s="104"/>
      <c r="I43" s="104"/>
      <c r="J43" s="104"/>
      <c r="K43" s="40"/>
      <c r="L43" s="40"/>
      <c r="M43" s="41"/>
    </row>
    <row r="44" spans="1:13" ht="18" customHeight="1" x14ac:dyDescent="0.25">
      <c r="A44" s="121" t="s">
        <v>5</v>
      </c>
      <c r="B44" s="119" t="s">
        <v>0</v>
      </c>
      <c r="C44" s="120"/>
      <c r="D44" s="117" t="s">
        <v>12</v>
      </c>
      <c r="E44" s="115" t="s">
        <v>6</v>
      </c>
      <c r="F44" s="116"/>
      <c r="G44" s="117" t="s">
        <v>19</v>
      </c>
      <c r="H44" s="117" t="s">
        <v>16</v>
      </c>
      <c r="I44" s="127" t="s">
        <v>3</v>
      </c>
      <c r="J44" s="128"/>
      <c r="K44" s="125" t="s">
        <v>4</v>
      </c>
      <c r="L44" s="126"/>
      <c r="M44" s="123" t="s">
        <v>10</v>
      </c>
    </row>
    <row r="45" spans="1:13" ht="18" customHeight="1" x14ac:dyDescent="0.25">
      <c r="A45" s="122"/>
      <c r="B45" s="7" t="s">
        <v>1</v>
      </c>
      <c r="C45" s="9" t="s">
        <v>2</v>
      </c>
      <c r="D45" s="118"/>
      <c r="E45" s="33" t="s">
        <v>1</v>
      </c>
      <c r="F45" s="33" t="s">
        <v>2</v>
      </c>
      <c r="G45" s="118"/>
      <c r="H45" s="118"/>
      <c r="I45" s="14" t="s">
        <v>8</v>
      </c>
      <c r="J45" s="15" t="s">
        <v>17</v>
      </c>
      <c r="K45" s="15" t="s">
        <v>8</v>
      </c>
      <c r="L45" s="15" t="s">
        <v>17</v>
      </c>
      <c r="M45" s="124"/>
    </row>
    <row r="46" spans="1:13" ht="75" x14ac:dyDescent="0.25">
      <c r="A46" s="26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6" s="11" t="s">
        <v>53</v>
      </c>
      <c r="C46" s="10" t="s">
        <v>54</v>
      </c>
      <c r="D46" s="10" t="s">
        <v>55</v>
      </c>
      <c r="E46" s="34" t="s">
        <v>56</v>
      </c>
      <c r="F46" s="34" t="s">
        <v>57</v>
      </c>
      <c r="G46" s="10" t="s">
        <v>58</v>
      </c>
      <c r="H46" s="10" t="s">
        <v>59</v>
      </c>
      <c r="I46" s="37">
        <v>0.66666666666666663</v>
      </c>
      <c r="J46" s="37">
        <v>0.83333333333333337</v>
      </c>
      <c r="K46" s="13">
        <v>46325</v>
      </c>
      <c r="L46" s="13">
        <v>46325</v>
      </c>
      <c r="M46" s="27" t="s">
        <v>60</v>
      </c>
    </row>
    <row r="47" spans="1:13" ht="30" x14ac:dyDescent="0.25">
      <c r="A47" s="26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7" s="11" t="s">
        <v>53</v>
      </c>
      <c r="C47" s="10" t="s">
        <v>61</v>
      </c>
      <c r="D47" s="10" t="s">
        <v>62</v>
      </c>
      <c r="E47" s="34" t="s">
        <v>63</v>
      </c>
      <c r="F47" s="34" t="s">
        <v>64</v>
      </c>
      <c r="G47" s="10" t="s">
        <v>58</v>
      </c>
      <c r="H47" s="10" t="s">
        <v>65</v>
      </c>
      <c r="I47" s="37">
        <v>0.66666666666666663</v>
      </c>
      <c r="J47" s="37">
        <v>0.83333333333333337</v>
      </c>
      <c r="K47" s="13">
        <v>46325</v>
      </c>
      <c r="L47" s="13">
        <v>46325</v>
      </c>
      <c r="M47" s="27" t="s">
        <v>60</v>
      </c>
    </row>
    <row r="48" spans="1:13" ht="45" x14ac:dyDescent="0.25">
      <c r="A48" s="26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48" s="11" t="s">
        <v>53</v>
      </c>
      <c r="C48" s="10" t="s">
        <v>61</v>
      </c>
      <c r="D48" s="10" t="s">
        <v>66</v>
      </c>
      <c r="E48" s="34" t="s">
        <v>67</v>
      </c>
      <c r="F48" s="34" t="s">
        <v>68</v>
      </c>
      <c r="G48" s="10" t="s">
        <v>58</v>
      </c>
      <c r="H48" s="10" t="s">
        <v>69</v>
      </c>
      <c r="I48" s="37">
        <v>0.66666666666666663</v>
      </c>
      <c r="J48" s="37">
        <v>0.83333333333333337</v>
      </c>
      <c r="K48" s="13">
        <v>46325</v>
      </c>
      <c r="L48" s="13">
        <v>46325</v>
      </c>
      <c r="M48" s="27" t="s">
        <v>70</v>
      </c>
    </row>
    <row r="49" spans="1:14" ht="30" x14ac:dyDescent="0.25">
      <c r="A49" s="26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49" s="11" t="s">
        <v>61</v>
      </c>
      <c r="C49" s="10" t="s">
        <v>71</v>
      </c>
      <c r="D49" s="10" t="s">
        <v>62</v>
      </c>
      <c r="E49" s="34" t="s">
        <v>64</v>
      </c>
      <c r="F49" s="34" t="s">
        <v>72</v>
      </c>
      <c r="G49" s="10" t="s">
        <v>58</v>
      </c>
      <c r="H49" s="10" t="s">
        <v>65</v>
      </c>
      <c r="I49" s="37">
        <v>0.66666666666666663</v>
      </c>
      <c r="J49" s="37">
        <v>0.83333333333333337</v>
      </c>
      <c r="K49" s="13">
        <v>46325</v>
      </c>
      <c r="L49" s="13">
        <v>46325</v>
      </c>
      <c r="M49" s="27" t="s">
        <v>60</v>
      </c>
    </row>
    <row r="50" spans="1:14" ht="30" x14ac:dyDescent="0.25">
      <c r="A50" s="26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0" s="11" t="s">
        <v>71</v>
      </c>
      <c r="C50" s="10" t="s">
        <v>54</v>
      </c>
      <c r="D50" s="10" t="s">
        <v>62</v>
      </c>
      <c r="E50" s="34" t="s">
        <v>72</v>
      </c>
      <c r="F50" s="34" t="s">
        <v>73</v>
      </c>
      <c r="G50" s="10" t="s">
        <v>58</v>
      </c>
      <c r="H50" s="10" t="s">
        <v>65</v>
      </c>
      <c r="I50" s="37">
        <v>0.66666666666666663</v>
      </c>
      <c r="J50" s="37">
        <v>0.83333333333333337</v>
      </c>
      <c r="K50" s="13">
        <v>46325</v>
      </c>
      <c r="L50" s="13">
        <v>46325</v>
      </c>
      <c r="M50" s="27" t="s">
        <v>60</v>
      </c>
    </row>
    <row r="51" spans="1:14" ht="30" x14ac:dyDescent="0.25">
      <c r="A51" s="26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1" s="11" t="s">
        <v>74</v>
      </c>
      <c r="C51" s="10" t="s">
        <v>54</v>
      </c>
      <c r="D51" s="10" t="s">
        <v>62</v>
      </c>
      <c r="E51" s="34" t="s">
        <v>73</v>
      </c>
      <c r="F51" s="34" t="s">
        <v>75</v>
      </c>
      <c r="G51" s="10" t="s">
        <v>58</v>
      </c>
      <c r="H51" s="10" t="s">
        <v>65</v>
      </c>
      <c r="I51" s="37">
        <v>0.66666666666666663</v>
      </c>
      <c r="J51" s="37">
        <v>0.83333333333333337</v>
      </c>
      <c r="K51" s="13">
        <v>46325</v>
      </c>
      <c r="L51" s="13">
        <v>46325</v>
      </c>
      <c r="M51" s="27" t="s">
        <v>60</v>
      </c>
    </row>
    <row r="52" spans="1:14" ht="105" x14ac:dyDescent="0.25">
      <c r="A52" s="26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2" s="11" t="s">
        <v>54</v>
      </c>
      <c r="C52" s="10" t="s">
        <v>76</v>
      </c>
      <c r="D52" s="10" t="s">
        <v>55</v>
      </c>
      <c r="E52" s="34" t="s">
        <v>77</v>
      </c>
      <c r="F52" s="34" t="s">
        <v>78</v>
      </c>
      <c r="G52" s="10" t="s">
        <v>58</v>
      </c>
      <c r="H52" s="10" t="s">
        <v>79</v>
      </c>
      <c r="I52" s="37">
        <v>0.66666666666666663</v>
      </c>
      <c r="J52" s="37">
        <v>0.83333333333333337</v>
      </c>
      <c r="K52" s="13">
        <v>46325</v>
      </c>
      <c r="L52" s="13">
        <v>46325</v>
      </c>
      <c r="M52" s="27" t="s">
        <v>60</v>
      </c>
    </row>
    <row r="53" spans="1:14" ht="30" x14ac:dyDescent="0.25">
      <c r="A53" s="26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3" s="11" t="s">
        <v>54</v>
      </c>
      <c r="C53" s="10" t="s">
        <v>76</v>
      </c>
      <c r="D53" s="10" t="s">
        <v>62</v>
      </c>
      <c r="E53" s="34" t="s">
        <v>75</v>
      </c>
      <c r="F53" s="34" t="s">
        <v>78</v>
      </c>
      <c r="G53" s="10" t="s">
        <v>58</v>
      </c>
      <c r="H53" s="10" t="s">
        <v>80</v>
      </c>
      <c r="I53" s="37">
        <v>0.66666666666666663</v>
      </c>
      <c r="J53" s="37">
        <v>0.83333333333333337</v>
      </c>
      <c r="K53" s="13">
        <v>46325</v>
      </c>
      <c r="L53" s="13">
        <v>46325</v>
      </c>
      <c r="M53" s="27" t="s">
        <v>60</v>
      </c>
    </row>
    <row r="54" spans="1:14" ht="165" x14ac:dyDescent="0.25">
      <c r="A54" s="26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4" s="11" t="s">
        <v>54</v>
      </c>
      <c r="C54" s="10" t="s">
        <v>81</v>
      </c>
      <c r="D54" s="10" t="s">
        <v>55</v>
      </c>
      <c r="E54" s="34" t="s">
        <v>82</v>
      </c>
      <c r="F54" s="34" t="s">
        <v>83</v>
      </c>
      <c r="G54" s="10" t="s">
        <v>58</v>
      </c>
      <c r="H54" s="10" t="s">
        <v>84</v>
      </c>
      <c r="I54" s="37">
        <v>0</v>
      </c>
      <c r="J54" s="37">
        <v>0.20833333333333334</v>
      </c>
      <c r="K54" s="13">
        <v>46325</v>
      </c>
      <c r="L54" s="13">
        <v>46325</v>
      </c>
      <c r="M54" s="27" t="s">
        <v>85</v>
      </c>
    </row>
    <row r="55" spans="1:14" ht="105" x14ac:dyDescent="0.25">
      <c r="A55" s="26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5" s="11" t="s">
        <v>54</v>
      </c>
      <c r="C55" s="10" t="s">
        <v>81</v>
      </c>
      <c r="D55" s="10" t="s">
        <v>55</v>
      </c>
      <c r="E55" s="34" t="s">
        <v>82</v>
      </c>
      <c r="F55" s="34" t="s">
        <v>86</v>
      </c>
      <c r="G55" s="10" t="s">
        <v>58</v>
      </c>
      <c r="H55" s="10" t="s">
        <v>87</v>
      </c>
      <c r="I55" s="37">
        <v>0</v>
      </c>
      <c r="J55" s="37">
        <v>0.125</v>
      </c>
      <c r="K55" s="13">
        <v>46325</v>
      </c>
      <c r="L55" s="13">
        <v>46325</v>
      </c>
      <c r="M55" s="27" t="s">
        <v>88</v>
      </c>
    </row>
    <row r="56" spans="1:14" ht="75" x14ac:dyDescent="0.25">
      <c r="A56" s="26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6" s="11" t="s">
        <v>54</v>
      </c>
      <c r="C56" s="10" t="s">
        <v>81</v>
      </c>
      <c r="D56" s="10" t="s">
        <v>55</v>
      </c>
      <c r="E56" s="34" t="s">
        <v>82</v>
      </c>
      <c r="F56" s="34" t="s">
        <v>86</v>
      </c>
      <c r="G56" s="10" t="s">
        <v>58</v>
      </c>
      <c r="H56" s="10" t="s">
        <v>89</v>
      </c>
      <c r="I56" s="37">
        <v>0</v>
      </c>
      <c r="J56" s="37">
        <v>0.20833333333333334</v>
      </c>
      <c r="K56" s="13">
        <v>46325</v>
      </c>
      <c r="L56" s="13">
        <v>46325</v>
      </c>
      <c r="M56" s="27" t="s">
        <v>90</v>
      </c>
    </row>
    <row r="57" spans="1:14" ht="165" x14ac:dyDescent="0.25">
      <c r="A57" s="26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7" s="11" t="s">
        <v>54</v>
      </c>
      <c r="C57" s="10" t="s">
        <v>81</v>
      </c>
      <c r="D57" s="10" t="s">
        <v>55</v>
      </c>
      <c r="E57" s="34" t="s">
        <v>82</v>
      </c>
      <c r="F57" s="34" t="s">
        <v>83</v>
      </c>
      <c r="G57" s="10" t="s">
        <v>58</v>
      </c>
      <c r="H57" s="10" t="s">
        <v>84</v>
      </c>
      <c r="I57" s="37">
        <v>0.95833333333333337</v>
      </c>
      <c r="J57" s="37">
        <v>0.99930555555555556</v>
      </c>
      <c r="K57" s="13">
        <v>46325</v>
      </c>
      <c r="L57" s="13">
        <v>46325</v>
      </c>
      <c r="M57" s="27" t="s">
        <v>85</v>
      </c>
    </row>
    <row r="58" spans="1:14" ht="75" x14ac:dyDescent="0.25">
      <c r="A58" s="26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58" s="11" t="s">
        <v>54</v>
      </c>
      <c r="C58" s="10" t="s">
        <v>81</v>
      </c>
      <c r="D58" s="10" t="s">
        <v>55</v>
      </c>
      <c r="E58" s="34" t="s">
        <v>82</v>
      </c>
      <c r="F58" s="34" t="s">
        <v>86</v>
      </c>
      <c r="G58" s="10" t="s">
        <v>58</v>
      </c>
      <c r="H58" s="10" t="s">
        <v>89</v>
      </c>
      <c r="I58" s="37">
        <v>0.97916666666666663</v>
      </c>
      <c r="J58" s="37">
        <v>0.99930555555555556</v>
      </c>
      <c r="K58" s="13">
        <v>46325</v>
      </c>
      <c r="L58" s="13">
        <v>46325</v>
      </c>
      <c r="M58" s="27" t="s">
        <v>90</v>
      </c>
    </row>
    <row r="59" spans="1:14" ht="225" x14ac:dyDescent="0.25">
      <c r="A59" s="26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59" s="11" t="s">
        <v>54</v>
      </c>
      <c r="C59" s="10" t="s">
        <v>91</v>
      </c>
      <c r="D59" s="10" t="s">
        <v>55</v>
      </c>
      <c r="E59" s="34" t="s">
        <v>92</v>
      </c>
      <c r="F59" s="34" t="s">
        <v>93</v>
      </c>
      <c r="G59" s="10" t="s">
        <v>58</v>
      </c>
      <c r="H59" s="10" t="s">
        <v>94</v>
      </c>
      <c r="I59" s="37">
        <v>0</v>
      </c>
      <c r="J59" s="37">
        <v>0.1875</v>
      </c>
      <c r="K59" s="13">
        <v>46325</v>
      </c>
      <c r="L59" s="13">
        <v>46325</v>
      </c>
      <c r="M59" s="27" t="s">
        <v>95</v>
      </c>
    </row>
    <row r="60" spans="1:14" ht="180" x14ac:dyDescent="0.25">
      <c r="A60" s="26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0" s="11" t="s">
        <v>54</v>
      </c>
      <c r="C60" s="10" t="s">
        <v>91</v>
      </c>
      <c r="D60" s="10" t="s">
        <v>55</v>
      </c>
      <c r="E60" s="34" t="s">
        <v>92</v>
      </c>
      <c r="F60" s="34" t="s">
        <v>93</v>
      </c>
      <c r="G60" s="10" t="s">
        <v>58</v>
      </c>
      <c r="H60" s="10" t="s">
        <v>96</v>
      </c>
      <c r="I60" s="37">
        <v>0.95833333333333337</v>
      </c>
      <c r="J60" s="37">
        <v>0.99930555555555556</v>
      </c>
      <c r="K60" s="13">
        <v>46325</v>
      </c>
      <c r="L60" s="13">
        <v>46325</v>
      </c>
      <c r="M60" s="27" t="s">
        <v>95</v>
      </c>
    </row>
    <row r="61" spans="1:14" ht="4.5" customHeight="1" thickBot="1" x14ac:dyDescent="0.3">
      <c r="A61" s="28"/>
      <c r="B61" s="2"/>
      <c r="C61" s="2"/>
      <c r="D61" s="3"/>
      <c r="E61" s="35"/>
      <c r="F61" s="35"/>
      <c r="G61" s="2"/>
      <c r="H61" s="4"/>
      <c r="I61" s="4"/>
      <c r="J61" s="5"/>
      <c r="K61" s="5"/>
      <c r="L61" s="6"/>
      <c r="M61" s="29"/>
    </row>
    <row r="62" spans="1:14" ht="22.5" customHeight="1" thickBot="1" x14ac:dyDescent="0.3">
      <c r="A62" s="39"/>
      <c r="B62" s="40"/>
      <c r="C62" s="40"/>
      <c r="D62" s="104" t="s">
        <v>50</v>
      </c>
      <c r="E62" s="104"/>
      <c r="F62" s="104"/>
      <c r="G62" s="104"/>
      <c r="H62" s="104"/>
      <c r="I62" s="104"/>
      <c r="J62" s="104"/>
      <c r="K62" s="40"/>
      <c r="L62" s="40"/>
      <c r="M62" s="41"/>
    </row>
    <row r="63" spans="1:14" ht="140.25" customHeight="1" thickBot="1" x14ac:dyDescent="0.3">
      <c r="A63" s="69"/>
      <c r="B63" s="154"/>
      <c r="C63" s="154"/>
      <c r="D63" s="154"/>
      <c r="E63" s="154"/>
      <c r="F63" s="154"/>
      <c r="G63" s="154"/>
      <c r="H63" s="154"/>
      <c r="I63" s="70"/>
      <c r="J63" s="70"/>
      <c r="K63" s="70"/>
      <c r="L63" s="70"/>
      <c r="M63" s="71"/>
    </row>
    <row r="64" spans="1:14" ht="15.75" customHeight="1" x14ac:dyDescent="0.25">
      <c r="A64" s="155"/>
      <c r="B64" s="155"/>
      <c r="C64" s="155"/>
      <c r="D64" s="155"/>
      <c r="E64" s="155"/>
      <c r="F64" s="155"/>
      <c r="G64" s="155"/>
      <c r="H64" s="155"/>
      <c r="I64" s="57"/>
      <c r="J64" s="57"/>
      <c r="K64" s="57"/>
      <c r="L64" s="57"/>
      <c r="M64" s="57"/>
      <c r="N64" s="67"/>
    </row>
    <row r="65" spans="1:14" ht="15.75" customHeight="1" x14ac:dyDescent="0.25">
      <c r="A65" s="155"/>
      <c r="B65" s="155"/>
      <c r="C65" s="155"/>
      <c r="D65" s="155"/>
      <c r="E65" s="155"/>
      <c r="F65" s="155"/>
      <c r="G65" s="155"/>
      <c r="H65" s="155"/>
      <c r="I65" s="58"/>
      <c r="J65" s="58"/>
      <c r="K65" s="58"/>
      <c r="L65" s="58"/>
      <c r="M65" s="58"/>
      <c r="N65" s="67"/>
    </row>
    <row r="66" spans="1:14" ht="15.75" customHeight="1" x14ac:dyDescent="0.25">
      <c r="A66" s="155"/>
      <c r="B66" s="155"/>
      <c r="C66" s="155"/>
      <c r="D66" s="155"/>
      <c r="E66" s="155"/>
      <c r="F66" s="155"/>
      <c r="G66" s="155"/>
      <c r="H66" s="155"/>
      <c r="I66" s="58"/>
      <c r="J66" s="58"/>
      <c r="K66" s="58"/>
      <c r="L66" s="58"/>
      <c r="M66" s="58"/>
      <c r="N66" s="67"/>
    </row>
    <row r="67" spans="1:14" x14ac:dyDescent="0.25">
      <c r="A67" s="67"/>
      <c r="B67" s="67"/>
      <c r="C67" s="67"/>
      <c r="D67" s="67"/>
      <c r="E67" s="68"/>
      <c r="F67" s="68"/>
      <c r="G67" s="67"/>
      <c r="H67" s="67"/>
      <c r="I67" s="67"/>
      <c r="J67" s="67"/>
      <c r="K67" s="67"/>
      <c r="L67" s="67"/>
      <c r="M67" s="67"/>
      <c r="N67" s="67"/>
    </row>
    <row r="68" spans="1:14" x14ac:dyDescent="0.25">
      <c r="A68" s="67"/>
      <c r="B68" s="67"/>
      <c r="C68" s="67"/>
      <c r="D68" s="67"/>
      <c r="E68" s="68"/>
      <c r="F68" s="68"/>
      <c r="G68" s="67"/>
      <c r="H68" s="67"/>
      <c r="I68" s="67"/>
      <c r="J68" s="67"/>
      <c r="K68" s="67"/>
      <c r="L68" s="67"/>
      <c r="M68" s="67"/>
      <c r="N68" s="67"/>
    </row>
    <row r="69" spans="1:14" x14ac:dyDescent="0.25">
      <c r="A69" s="67"/>
      <c r="B69" s="67"/>
      <c r="C69" s="67"/>
      <c r="D69" s="67"/>
      <c r="E69" s="68"/>
      <c r="F69" s="68"/>
      <c r="G69" s="67"/>
      <c r="H69" s="67"/>
      <c r="I69" s="67"/>
      <c r="J69" s="67"/>
      <c r="K69" s="67"/>
      <c r="L69" s="67"/>
      <c r="M69" s="67"/>
      <c r="N69" s="67"/>
    </row>
    <row r="70" spans="1:14" ht="40.5" customHeight="1" x14ac:dyDescent="0.25">
      <c r="A70" s="67"/>
      <c r="B70" s="67"/>
      <c r="C70" s="67"/>
      <c r="D70" s="67"/>
      <c r="E70" s="68"/>
      <c r="F70" s="68"/>
      <c r="G70" s="67"/>
      <c r="H70" s="67"/>
      <c r="I70" s="67"/>
      <c r="J70" s="67"/>
      <c r="K70" s="67"/>
      <c r="L70" s="67"/>
      <c r="M70" s="67"/>
      <c r="N70" s="67"/>
    </row>
  </sheetData>
  <mergeCells count="56">
    <mergeCell ref="C10:D10"/>
    <mergeCell ref="C11:D11"/>
    <mergeCell ref="C12:D12"/>
    <mergeCell ref="F9:G9"/>
    <mergeCell ref="F10:G10"/>
    <mergeCell ref="F11:G11"/>
    <mergeCell ref="F12:G12"/>
    <mergeCell ref="C9:D9"/>
    <mergeCell ref="M22:M23"/>
    <mergeCell ref="B63:H63"/>
    <mergeCell ref="A64:H64"/>
    <mergeCell ref="A65:H65"/>
    <mergeCell ref="A66:H66"/>
    <mergeCell ref="D43:J43"/>
    <mergeCell ref="I22:J22"/>
    <mergeCell ref="K22:L22"/>
    <mergeCell ref="B22:C22"/>
    <mergeCell ref="H22:H23"/>
    <mergeCell ref="A4:B4"/>
    <mergeCell ref="A5:B5"/>
    <mergeCell ref="A22:A23"/>
    <mergeCell ref="G22:G23"/>
    <mergeCell ref="E4:F4"/>
    <mergeCell ref="D21:J21"/>
    <mergeCell ref="D22:D23"/>
    <mergeCell ref="I6:L6"/>
    <mergeCell ref="I7:L7"/>
    <mergeCell ref="I8:L8"/>
    <mergeCell ref="C6:D6"/>
    <mergeCell ref="C7:D7"/>
    <mergeCell ref="C8:D8"/>
    <mergeCell ref="F6:G6"/>
    <mergeCell ref="F7:G7"/>
    <mergeCell ref="F8:G8"/>
    <mergeCell ref="J1:M1"/>
    <mergeCell ref="A2:B2"/>
    <mergeCell ref="I2:M2"/>
    <mergeCell ref="E1:H1"/>
    <mergeCell ref="E3:F3"/>
    <mergeCell ref="A3:B3"/>
    <mergeCell ref="A19:M19"/>
    <mergeCell ref="D14:J14"/>
    <mergeCell ref="A17:M17"/>
    <mergeCell ref="A18:M18"/>
    <mergeCell ref="D62:J62"/>
    <mergeCell ref="H15:M16"/>
    <mergeCell ref="E22:F22"/>
    <mergeCell ref="D44:D45"/>
    <mergeCell ref="B44:C44"/>
    <mergeCell ref="A44:A45"/>
    <mergeCell ref="M44:M45"/>
    <mergeCell ref="K44:L44"/>
    <mergeCell ref="I44:J44"/>
    <mergeCell ref="H44:H45"/>
    <mergeCell ref="G44:G45"/>
    <mergeCell ref="E44:F44"/>
  </mergeCells>
  <conditionalFormatting sqref="B24:M42">
    <cfRule type="expression" dxfId="4" priority="12">
      <formula>AND($K24&gt;0,$K24=$L24,$G24="TOQUE PITO")</formula>
    </cfRule>
    <cfRule type="expression" dxfId="3" priority="13">
      <formula>SEARCH("Cruce",$D24)</formula>
    </cfRule>
    <cfRule type="expression" dxfId="2" priority="14">
      <formula>AND($K24&gt;0,$K24=$L24)</formula>
    </cfRule>
  </conditionalFormatting>
  <conditionalFormatting sqref="H24:H60">
    <cfRule type="containsText" dxfId="1" priority="15" operator="containsText" text="VENTANA DE TRABAJO BAJO COORDINACIÓN CON CONTROLADOR DE TRÁFICO">
      <formula>NOT(ISERROR(SEARCH("VENTANA DE TRABAJO BAJO COORDINACIÓN CON CONTROLADOR DE TRÁFICO",H24)))</formula>
    </cfRule>
  </conditionalFormatting>
  <conditionalFormatting sqref="H24:H42">
    <cfRule type="expression" dxfId="0" priority="11">
      <formula>AND($K24&gt;0,$K24=$L24,$G24="TOQUE PITO")</formula>
    </cfRule>
  </conditionalFormatting>
  <hyperlinks>
    <hyperlink ref="H8" r:id="rId1" xr:uid="{9F9DA072-CC17-47A2-9542-4F3E1598F1FF}"/>
    <hyperlink ref="I8" r:id="rId2" xr:uid="{429B97BD-B768-41CF-B7D5-3B72346E6404}"/>
    <hyperlink ref="C9" r:id="rId3" xr:uid="{A9B74134-8CAA-481B-9EC3-ECE9FFF4122C}"/>
    <hyperlink ref="F8" r:id="rId4" display="ct.con@efesur.cl" xr:uid="{A62771B1-F50B-44FC-8E46-A4111D7FF847}"/>
    <hyperlink ref="F9" r:id="rId5" xr:uid="{616104E9-1DFE-495C-AAB9-5F8759EC5E00}"/>
  </hyperlinks>
  <pageMargins left="0.31496062992125984" right="0.31496062992125984" top="0.35433070866141736" bottom="0.35433070866141736" header="0.31496062992125984" footer="0.31496062992125984"/>
  <pageSetup paperSize="281" scale="70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9C0CCF-64D9-48FA-AC9B-188681EF6E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f45291bc-c7a1-4ef0-8ab4-c48bff5dc735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13609a6-81c6-46ac-ab9d-5ac73f4e1cc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2026-10-29T21:30:24Z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