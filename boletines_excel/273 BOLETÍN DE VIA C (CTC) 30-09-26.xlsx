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A761BF38-DFE9-4EE7-97E9-0A0326E3C7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<sst xmlns="http://schemas.openxmlformats.org/spreadsheetml/2006/main" count="829" uniqueCount="297">
  <si>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</si>
  <si>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</si>
  <si>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</si>
  <si>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</si>
  <si>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</si>
  <si>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</si>
  <si>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</si>
  <si>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</si>
  <si>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</si>
  <si>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</si>
  <si>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</si>
  <si>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</si>
  <si>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</si>
  <si>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</si>
  <si>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</si>
  <si>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</si>
  <si>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</si>
  <si>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</si>
  <si>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</si>
  <si>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</si>
  <si>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</si>
  <si>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</si>
  <si>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</si>
  <si>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</si>
  <si>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</si>
  <si>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</si>
  <si>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</si>
  <si>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</si>
  <si>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</si>
  <si>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</si>
  <si>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</si>
  <si>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</si>
  <si>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</si>
  <si>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</si>
  <si>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</si>
  <si>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</si>
  <si>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</si>
  <si>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</si>
  <si>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</si>
  <si>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</si>
  <si>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</si>
  <si>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</si>
  <si>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</si>
  <si>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</si>
  <si>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</si>
  <si>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</si>
  <si>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</si>
  <si>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</si>
  <si>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</si>
  <si>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</si>
  <si>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</si>
  <si>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</si>
  <si>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</si>
  <si>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</si>
  <si>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</si>
  <si>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</si>
  <si>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</si>
  <si>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</si>
  <si>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</si>
  <si>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</si>
  <si>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</si>
  <si>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</si>
  <si>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</si>
  <si>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</si>
  <si>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</si>
  <si>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</si>
  <si>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</si>
  <si>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</si>
  <si>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</si>
  <si>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</si>
  <si>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</si>
  <si>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</si>
  <si>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</si>
  <si>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</si>
  <si>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</si>
  <si>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</si>
  <si>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</si>
  <si>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</si>
  <si>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</si>
  <si>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</si>
  <si>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</si>
  <si>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</si>
  <si>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</si>
  <si>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</si>
  <si>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</si>
  <si>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</si>
  <si>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</si>
  <si>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</si>
  <si>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</si>
  <si>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</si>
  <si>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</si>
  <si>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</si>
  <si>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</si>
  <si>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</si>
  <si>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</si>
  <si>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</si>
  <si>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</si>
  <si>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</si>
  <si>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</si>
  <si>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</si>
  <si>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</si>
  <si>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</si>
  <si>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</si>
  <si>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</si>
  <si>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</si>
  <si>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</si>
  <si>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</si>
  <si>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</si>
  <si>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</si>
  <si>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CONCEPCIÓN</t>
  </si>
  <si>
    <t>60 P. 1</t>
  </si>
  <si>
    <t>67 P. 1</t>
  </si>
  <si>
    <t>VÍA 2</t>
  </si>
  <si>
    <t>61 P. 1</t>
  </si>
  <si>
    <t>60 P. 5</t>
  </si>
  <si>
    <t>30 km/h Y TOQUE PITO</t>
  </si>
  <si>
    <t>MANTENIMIENTO ESTACION CHIGUAYANTE  / ALEX CIFUENTES  (P-5.1) / 981510913</t>
  </si>
  <si>
    <t>ARC (VLADIMIR MARCHANT)</t>
  </si>
  <si>
    <t>MANTENIMIENTO ESTACION CHIGUAYANTE  / MAXIMILIANO MARCHANT  (P-5.1) / 956672304</t>
  </si>
  <si>
    <t>63 P. 35</t>
  </si>
  <si>
    <t>63 P. 47</t>
  </si>
  <si>
    <t>SANAMIENTO DE VIA , APORTE DE BALASTO Y NIVELCION MANUAL / DIEGO MENDOZA (P-5.1) / 932440690</t>
  </si>
  <si>
    <t>CTA (IGNACIO RETAMAL)</t>
  </si>
  <si>
    <t>66 P. 1</t>
  </si>
  <si>
    <t>72 P. 1</t>
  </si>
  <si>
    <t>MANTENIMIENTO GENERAL DE PAN AUTOMATICO E-300 (PAN DESIDERIO SANHUEZA) / JUAN PABLO ORTIZ (P-5.1) / 92411100</t>
  </si>
  <si>
    <t>GLOBE ICF SA (RICARDO YAÑEZ)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</si>
  <si>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</si>
  <si>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</si>
  <si>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</si>
  <si>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</si>
  <si>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</si>
  <si>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</si>
  <si>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</si>
  <si>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</si>
  <si>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</si>
  <si>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</si>
  <si>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</si>
  <si>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</si>
  <si>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</si>
  <si>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</si>
  <si>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</si>
  <si>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</si>
  <si>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</si>
  <si>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</si>
  <si>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</si>
  <si>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</si>
  <si>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</si>
  <si>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</si>
  <si>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</si>
  <si>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</si>
  <si>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</si>
  <si>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</si>
  <si>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</si>
  <si>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ICIL ICAFAL (MARCO OSSES)</t>
  </si>
  <si>
    <t>EL ARENAL</t>
  </si>
  <si>
    <t>73 P. 1</t>
  </si>
  <si>
    <t>74 P. 1</t>
  </si>
  <si>
    <t>81 P. 1</t>
  </si>
  <si>
    <t>82 P. 1</t>
  </si>
  <si>
    <t>MERCADO</t>
  </si>
  <si>
    <t>MANTENIMIENTO GENERAL DE PAN AUTOMATICO E-300 (PAN BILBAO) / JUAN PABLO ORTIZ (P-5.1) / 92411100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</si>
  <si>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</si>
  <si>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</si>
  <si>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</si>
  <si>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</si>
  <si>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</si>
  <si>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</si>
  <si>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</si>
  <si>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</si>
  <si>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</si>
  <si>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</si>
  <si>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</si>
  <si>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</si>
  <si>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</si>
  <si>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</si>
  <si>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</si>
  <si>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</si>
  <si>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</si>
  <si>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</si>
  <si>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</si>
  <si>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</si>
  <si>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</si>
  <si>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</si>
  <si>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</si>
  <si>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</si>
  <si>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</si>
  <si>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</si>
  <si>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</si>
  <si>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0 P. 1</t>
  </si>
  <si>
    <t>1 P. 1CD</t>
  </si>
  <si>
    <t>AMBAS VÍAS</t>
  </si>
  <si>
    <t>0 P. 2</t>
  </si>
  <si>
    <t>0 P. 25</t>
  </si>
  <si>
    <t>INSTALACION DE FIBRA FOA Y FOS TRAMO LT CONCEPCION-LT BIO BIO  / ALVARO CABEZAS (P-5.1) / 954370412</t>
  </si>
  <si>
    <t>MARSUR CHILE (NATHALIE AGUILERA)</t>
  </si>
  <si>
    <t>BIOBÍO</t>
  </si>
  <si>
    <t>VÍA 1 Y 2</t>
  </si>
  <si>
    <t>3 P. 1</t>
  </si>
  <si>
    <t>4 P. 1</t>
  </si>
  <si>
    <t>BOCA SUR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</si>
  <si>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</si>
  <si>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</si>
  <si>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</si>
  <si>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</si>
  <si>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SEGUEL)</t>
  </si>
  <si>
    <t>LOMAS COLORADAS</t>
  </si>
  <si>
    <t>12 P. 3</t>
  </si>
  <si>
    <t>12 P. 5</t>
  </si>
  <si>
    <t>TOQUE PITO</t>
  </si>
  <si>
    <t>ALTO FLUJO DE ESCOLARES, COLEGIO AMANECER</t>
  </si>
  <si>
    <t>EFE SUR</t>
  </si>
  <si>
    <t>ESCUADRÓN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</si>
  <si>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</si>
  <si>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</si>
  <si>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</si>
  <si>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</si>
  <si>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</si>
  <si>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</si>
  <si>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</si>
  <si>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</si>
  <si>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18 P. 17</t>
  </si>
  <si>
    <t>18 P. 20</t>
  </si>
  <si>
    <t>PAN ESCUADRON 2 FUERA DE SERVICIO, CON GURDA CRUCES</t>
  </si>
  <si>
    <t>GLOBE ICF SA</t>
  </si>
  <si>
    <t>LAGUNILLAS</t>
  </si>
  <si>
    <t>21 P. 5</t>
  </si>
  <si>
    <t>21 P. 11</t>
  </si>
  <si>
    <t>SANAMIENTO DE VIA , APORTE DE BALASTO Y NIVELCION MANUAL / ERWIN ROA (P-5.1) / 946785082</t>
  </si>
  <si>
    <t>23 P. 31</t>
  </si>
  <si>
    <t>23 P. 33</t>
  </si>
  <si>
    <t>(PAN LOS MOLINEROS) ALTA AFLUENCIA DE PUBLICO POR ACTIVIDADES (COLEGIO AMANECER) + FUNDACIÓN METODISTA DE CORONEL</t>
  </si>
  <si>
    <t>CORONEL</t>
  </si>
  <si>
    <t>MANTENIMIENTO GENERAL DE PAN BARRERA AUTOMATICA ICF (PAN HEROES DE LA CONCEPCION)  / MANUEL RIQUELME (P-5.1) / 936866982</t>
  </si>
  <si>
    <t>MANTENIMIENTO GENERAL DE PAN BARRERA AUTOMATICA ICF (PAN YOBILO)  / MANUEL RIQUELME (P-5.1) / 936866982</t>
  </si>
  <si>
    <t>25 P. 1</t>
  </si>
  <si>
    <t>26 P. 1</t>
  </si>
  <si>
    <t>27 P. 4</t>
  </si>
  <si>
    <t>27 P. 12</t>
  </si>
  <si>
    <t>PREPARACION DE SOLDADURA ALUMINOTERMICA / ERICK CONTRERAS (P-5.1) / 997746919</t>
  </si>
  <si>
    <t>UNIHUE</t>
  </si>
  <si>
    <t>PRINCIPAL Y LOCAL</t>
  </si>
  <si>
    <t>35 P. 13</t>
  </si>
  <si>
    <t>46 P. 11</t>
  </si>
  <si>
    <t>OCUPACIÓN ORDINARIA DE VÍA</t>
  </si>
  <si>
    <t>RENOVACIÓN CATENARIA / GUSTAVO FLORES (P-5.1) / 988473371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</si>
  <si>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</si>
  <si>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</si>
  <si>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</si>
  <si>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</si>
  <si>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CESAR CERDAN (P-6) / 976018306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</si>
  <si>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</si>
  <si>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</si>
  <si>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</si>
  <si>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</si>
  <si>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944031115</t>
  </si>
  <si>
    <t>EFE (VLADIMIR MARCHANT)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</si>
  <si>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</si>
  <si>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</si>
  <si>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</si>
  <si>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65 P. 35</t>
  </si>
  <si>
    <t>65 P. 39</t>
  </si>
  <si>
    <t>SANAMIENTO DE VIA , APORTE DE BALASTO Y NIVELCION MANUAL,REPARACION DE LOSETA DE HORMIGON EN CRUCE LONCO. / DIEGO MENDOZA (P-5.1) / 932440690 / VENTANA DE TRABAJO BAJO COORDINACIÓN CON CONTROLADOR DE TRÁFICO.</t>
  </si>
  <si>
    <t>CTA  (IGNACIO RETAMAL)</t>
  </si>
  <si>
    <t>69 P. 9</t>
  </si>
  <si>
    <t>84 P. 23</t>
  </si>
  <si>
    <t>CTA SPA (RAMON QUERALES)</t>
  </si>
  <si>
    <t>VÍA 4 / VÍA 1 TÚNEL</t>
  </si>
  <si>
    <t>70 P. 22</t>
  </si>
  <si>
    <t>MANTENIMIENTO DE AISLADORES DE LINEAS DE MT Y AT              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REPINTADO DE POSTES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</si>
  <si>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APOYO VÍAS / SE SOLICITAN 3KV DESDE PLENA VÍA 4 CONCEPCIÓN -. BIO BIO (70/22) HASTA  PATIO ESTACIÓN CORONEL MÁS 2300V DESDE SE ESCUADRÓN A CORONEL (2,3KV SE EVALUARÁ DESCONEXIÓN, SOLO DE SER NECESARIA) / MARTÍN CASTRO (P6) / 934021254</t>
  </si>
  <si>
    <t>INSTALACION DE FIBRA FOA Y FOS TRAMO LT CONCEPCION-LT BIO BIO ( TUNEL Y PUENTE). / SE SOLICITA DESCONEXION 3KV DESDE  PV CC AMBAS VIAS 1,2 HASTA CORONEL + 2,3KV DESDE  S/E CONCEPCION A CORONEL + 1200 VOLTS DESDE CCP A PUENTE BIO BIO  (P5.1 ALVARO CABEZAS 954370412) / RODRIGO GOMEZ (P-6) / 998634583</t>
  </si>
  <si>
    <t>1 P. 1CI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</si>
  <si>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JUAN HENRIQUEZ (P-5.1) / 982703584</t>
  </si>
  <si>
    <t>11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</si>
  <si>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 (P-5.1) / 982703584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</si>
  <si>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</si>
  <si>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JOSUÉ ELGUETA  (P-5.1) / 948873616</t>
  </si>
  <si>
    <t>21 P. 1</t>
  </si>
  <si>
    <t>ACTIVIDADES DE PROYECTO AUMENTO DE CAPACIDAD DEL BIOTREN: PENDOLADO, ATENCIÓN DE PUNCH LIST, INSTALACIÓN DE SENSORES Y GATEWAY, CONEXIONES DE ALIMENTACIÓN ALIMENTADOR DE REFUERZO A CATENARIA. / DOMINGO LEPIAN  (P-5.1) / 999719554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</si>
  <si>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</si>
  <si>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 (P-5.1) / 977668866</t>
  </si>
  <si>
    <t>22 P. 1</t>
  </si>
  <si>
    <t>23 P. 1</t>
  </si>
  <si>
    <t>RETIRO DE BASURA, DESDE LOS CANELOS A CRISTO REDENTOR / ERWIN ROA (P-5.1) / 946785082 / VENTANA DE TRABAJO BAJO COORDINACIÓN CON CONTROLADOR DE TRÁFICO.</t>
  </si>
  <si>
    <t>SOLDADURA ALUMINOTERMICA / ERICK CONTRERAS (P-5.1) / 997746919 / VENTANA DE TRABAJO BAJO COORDINACIÓN CON CONTROLADOR DE TRÁFICO.</t>
  </si>
  <si>
    <t>SUBESTACIÓN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</si>
  <si>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964569235, 938941810</t>
  </si>
  <si>
    <t>SIEMENS (ESTEBAN CHAMBE)</t>
  </si>
  <si>
    <t>INSTALACION DE BARRAMIENTOS EN SECTOR TR2 Y GRUPO DE TRACCION N°2 CON EQUIPO DE APOYO
TENDIDO DE CONDUCTORES CC Y CA DE GRUPO DE TRACCION Y RECTIFICADOR EN CANALIZADOS DE TRINCHERA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</si>
  <si>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</si>
  <si>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ACTIVIDADES DE PROYECTO AUMENTO DE CAPACIDAD DEL BIOTREN: INSTALACIÓN DE POSTES, VESTIDO DE POSTES ENTRE CCP Y CRUCE PEDRO LEÓN GALLO. / ISAAC FUENTES  (P-5.1) / 972293818/ VENTANA DE TRABAJO BAJO COORDINACIÓN CON CONTROLADOR DE TRÁFICO.</t>
  </si>
  <si>
    <t>LÍNEA DE CONTACTO</t>
  </si>
  <si>
    <t>71 P. 10</t>
  </si>
  <si>
    <t>REVISIÓN TECHUMBRE SE CONCEPCION / SE SOLICITA BARRA DE 3KV TOTALMENTE LIBRE Y ABIERTA DESDE SECCIONADORES 89 1 Y 2 HASTA SECCIONADORES TIPO CUERNO 189 AL 1 AL 5 / MARTÍN CASTRO (P-6) / 934021254</t>
  </si>
  <si>
    <t>EFE (FERNANDO ROJAS JIMÉNEZ)</t>
  </si>
  <si>
    <t>CARLOS SOTO PINCHEIRA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</si>
</sst>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135</xdr:row>
      <xdr:rowOff>38099</xdr:rowOff>
    </xdr:from>
    <xdr:to>
      <xdr:col>12</xdr:col>
      <xdr:colOff>1181100</xdr:colOff>
      <xdr:row>135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135</xdr:row>
      <xdr:rowOff>38101</xdr:rowOff>
    </xdr:from>
    <xdr:to>
      <xdr:col>6</xdr:col>
      <xdr:colOff>552450</xdr:colOff>
      <xdr:row>135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135</xdr:row>
      <xdr:rowOff>551726</xdr:rowOff>
    </xdr:from>
    <xdr:to>
      <xdr:col>11</xdr:col>
      <xdr:colOff>260349</xdr:colOff>
      <xdr:row>135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showGridLines="0" tabSelected="1" topLeftCell="A112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0" t="s">
        <v>65</v>
      </c>
      <c r="F1" s="130"/>
      <c r="G1" s="130"/>
      <c r="H1" s="130"/>
      <c r="I1" s="26"/>
      <c r="J1" s="134">
        <v>46295</v>
      </c>
      <c r="K1" s="134"/>
      <c r="L1" s="134"/>
      <c r="M1" s="135"/>
    </row>
    <row r="2" spans="1:13" ht="13.5" customHeight="1" thickTop="1" x14ac:dyDescent="0.25">
      <c r="A2" s="152"/>
      <c r="B2" s="153"/>
      <c r="C2" s="15"/>
      <c r="D2" s="12"/>
      <c r="E2" s="38"/>
      <c r="F2" s="39"/>
      <c r="G2" s="13"/>
      <c r="H2" s="74"/>
      <c r="I2" s="157"/>
      <c r="J2" s="157"/>
      <c r="K2" s="157"/>
      <c r="L2" s="157"/>
      <c r="M2" s="158"/>
    </row>
    <row r="3" spans="1:13" ht="18" customHeight="1" x14ac:dyDescent="0.25">
      <c r="A3" s="146"/>
      <c r="B3" s="147"/>
      <c r="C3" s="75"/>
      <c r="D3" s="76"/>
      <c r="E3" s="131" t="s">
        <v>22</v>
      </c>
      <c r="F3" s="131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48"/>
      <c r="B4" s="149"/>
      <c r="C4" s="78"/>
      <c r="D4" s="79"/>
      <c r="E4" s="156">
        <f ca="1">TODAY()</f>
        <v>46294</v>
      </c>
      <c r="F4" s="156"/>
      <c r="G4" s="37">
        <v>273</v>
      </c>
      <c r="H4" s="14" t="s">
        <v>296</v>
      </c>
      <c r="I4" s="80"/>
      <c r="J4" s="80"/>
      <c r="K4" s="80"/>
      <c r="L4" s="80"/>
      <c r="M4" s="28"/>
    </row>
    <row r="5" spans="1:13" ht="7.5" customHeight="1" x14ac:dyDescent="0.25">
      <c r="A5" s="150"/>
      <c r="B5" s="151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19" t="s">
        <v>12</v>
      </c>
      <c r="D6" s="119"/>
      <c r="E6" s="84"/>
      <c r="F6" s="119" t="s">
        <v>13</v>
      </c>
      <c r="G6" s="119"/>
      <c r="H6" s="85" t="s">
        <v>35</v>
      </c>
      <c r="I6" s="119" t="s">
        <v>32</v>
      </c>
      <c r="J6" s="119"/>
      <c r="K6" s="119"/>
      <c r="L6" s="119"/>
      <c r="M6" s="54"/>
    </row>
    <row r="7" spans="1:13" s="53" customFormat="1" ht="12.75" customHeight="1" x14ac:dyDescent="0.25">
      <c r="A7" s="52"/>
      <c r="B7" s="86"/>
      <c r="C7" s="122" t="s">
        <v>14</v>
      </c>
      <c r="D7" s="122"/>
      <c r="E7" s="86"/>
      <c r="F7" s="122" t="s">
        <v>34</v>
      </c>
      <c r="G7" s="122"/>
      <c r="H7" s="87" t="s">
        <v>41</v>
      </c>
      <c r="I7" s="120" t="s">
        <v>42</v>
      </c>
      <c r="J7" s="120"/>
      <c r="K7" s="120"/>
      <c r="L7" s="120"/>
      <c r="M7" s="55"/>
    </row>
    <row r="8" spans="1:13" s="53" customFormat="1" ht="12.75" customHeight="1" x14ac:dyDescent="0.25">
      <c r="A8" s="52"/>
      <c r="B8" s="88"/>
      <c r="C8" s="120" t="s">
        <v>43</v>
      </c>
      <c r="D8" s="120"/>
      <c r="E8" s="88"/>
      <c r="F8" s="120" t="s">
        <v>44</v>
      </c>
      <c r="G8" s="120"/>
      <c r="H8" s="89" t="s">
        <v>36</v>
      </c>
      <c r="I8" s="121" t="s">
        <v>33</v>
      </c>
      <c r="J8" s="121"/>
      <c r="K8" s="121"/>
      <c r="L8" s="121"/>
      <c r="M8" s="55"/>
    </row>
    <row r="9" spans="1:13" ht="21" customHeight="1" x14ac:dyDescent="0.25">
      <c r="A9" s="73"/>
      <c r="B9" s="90"/>
      <c r="C9" s="119" t="s">
        <v>29</v>
      </c>
      <c r="D9" s="119"/>
      <c r="E9" s="90"/>
      <c r="F9" s="119" t="s">
        <v>37</v>
      </c>
      <c r="G9" s="119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22" t="s">
        <v>30</v>
      </c>
      <c r="D10" s="122"/>
      <c r="E10" s="92"/>
      <c r="F10" s="122" t="s">
        <v>38</v>
      </c>
      <c r="G10" s="122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20" t="s">
        <v>45</v>
      </c>
      <c r="D11" s="120"/>
      <c r="E11" s="92"/>
      <c r="F11" s="120" t="s">
        <v>46</v>
      </c>
      <c r="G11" s="120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21" t="s">
        <v>31</v>
      </c>
      <c r="D12" s="121"/>
      <c r="E12" s="92"/>
      <c r="F12" s="121" t="s">
        <v>40</v>
      </c>
      <c r="G12" s="136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23" t="s">
        <v>49</v>
      </c>
      <c r="E14" s="123"/>
      <c r="F14" s="123"/>
      <c r="G14" s="123"/>
      <c r="H14" s="123"/>
      <c r="I14" s="123"/>
      <c r="J14" s="123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37" t="s">
        <v>57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9"/>
    </row>
    <row r="23" spans="1:13" ht="30" customHeight="1" thickTop="1" thickBot="1" x14ac:dyDescent="0.3">
      <c r="A23" s="140" t="s">
        <v>58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2"/>
    </row>
    <row r="24" spans="1:13" ht="67.5" customHeight="1" thickBot="1" x14ac:dyDescent="0.3">
      <c r="A24" s="143" t="s">
        <v>64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23" t="s">
        <v>26</v>
      </c>
      <c r="E26" s="123"/>
      <c r="F26" s="123"/>
      <c r="G26" s="123"/>
      <c r="H26" s="123"/>
      <c r="I26" s="123"/>
      <c r="J26" s="123"/>
      <c r="K26" s="123"/>
      <c r="L26" s="48"/>
      <c r="M26" s="49"/>
    </row>
    <row r="27" spans="1:13" ht="18" customHeight="1" x14ac:dyDescent="0.25">
      <c r="A27" s="172" t="s">
        <v>5</v>
      </c>
      <c r="B27" s="154" t="s">
        <v>0</v>
      </c>
      <c r="C27" s="155"/>
      <c r="D27" s="165" t="s">
        <v>10</v>
      </c>
      <c r="E27" s="167" t="s">
        <v>6</v>
      </c>
      <c r="F27" s="168"/>
      <c r="G27" s="165" t="s">
        <v>18</v>
      </c>
      <c r="H27" s="165" t="s">
        <v>7</v>
      </c>
      <c r="I27" s="169" t="s">
        <v>3</v>
      </c>
      <c r="J27" s="170"/>
      <c r="K27" s="171" t="s">
        <v>4</v>
      </c>
      <c r="L27" s="170"/>
      <c r="M27" s="132" t="s">
        <v>15</v>
      </c>
    </row>
    <row r="28" spans="1:13" ht="18" customHeight="1" x14ac:dyDescent="0.25">
      <c r="A28" s="173"/>
      <c r="B28" s="4" t="s">
        <v>1</v>
      </c>
      <c r="C28" s="4" t="s">
        <v>2</v>
      </c>
      <c r="D28" s="166"/>
      <c r="E28" s="41" t="s">
        <v>1</v>
      </c>
      <c r="F28" s="41" t="s">
        <v>2</v>
      </c>
      <c r="G28" s="166"/>
      <c r="H28" s="166"/>
      <c r="I28" s="10" t="s">
        <v>8</v>
      </c>
      <c r="J28" s="11" t="s">
        <v>17</v>
      </c>
      <c r="K28" s="11" t="s">
        <v>8</v>
      </c>
      <c r="L28" s="11" t="s">
        <v>17</v>
      </c>
      <c r="M28" s="133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2" t="s">
        <v>68</v>
      </c>
      <c r="F29" s="42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2" t="s">
        <v>76</v>
      </c>
      <c r="F30" s="42" t="s">
        <v>77</v>
      </c>
      <c r="G30" s="6" t="s">
        <v>78</v>
      </c>
      <c r="H30" s="6" t="s">
        <v>79</v>
      </c>
      <c r="I30" s="8">
        <v>0</v>
      </c>
      <c r="J30" s="8">
        <v>0.99930555555555556</v>
      </c>
      <c r="K30" s="9">
        <v>46274</v>
      </c>
      <c r="L30" s="9" t="s">
        <v>72</v>
      </c>
      <c r="M30" s="31" t="s">
        <v>80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2" t="s">
        <v>81</v>
      </c>
      <c r="F31" s="42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42534</v>
      </c>
      <c r="L31" s="9" t="s">
        <v>72</v>
      </c>
      <c r="M31" s="31" t="s">
        <v>73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85</v>
      </c>
      <c r="E32" s="42" t="s">
        <v>86</v>
      </c>
      <c r="F32" s="42" t="s">
        <v>87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46287</v>
      </c>
      <c r="L32" s="9" t="s">
        <v>72</v>
      </c>
      <c r="M32" s="31" t="s">
        <v>90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91</v>
      </c>
      <c r="E33" s="42" t="s">
        <v>92</v>
      </c>
      <c r="F33" s="42" t="s">
        <v>93</v>
      </c>
      <c r="G33" s="6" t="s">
        <v>88</v>
      </c>
      <c r="H33" s="6" t="s">
        <v>89</v>
      </c>
      <c r="I33" s="8">
        <v>0</v>
      </c>
      <c r="J33" s="8">
        <v>0.99930555555555556</v>
      </c>
      <c r="K33" s="9">
        <v>46287</v>
      </c>
      <c r="L33" s="9" t="s">
        <v>72</v>
      </c>
      <c r="M33" s="31" t="s">
        <v>90</v>
      </c>
    </row>
    <row r="34" spans="1:13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74</v>
      </c>
      <c r="D34" s="6" t="s">
        <v>75</v>
      </c>
      <c r="E34" s="42" t="s">
        <v>94</v>
      </c>
      <c r="F34" s="42" t="s">
        <v>95</v>
      </c>
      <c r="G34" s="6" t="s">
        <v>96</v>
      </c>
      <c r="H34" s="6" t="s">
        <v>97</v>
      </c>
      <c r="I34" s="8">
        <v>0</v>
      </c>
      <c r="J34" s="8">
        <v>0.99930555555555556</v>
      </c>
      <c r="K34" s="9">
        <v>44021</v>
      </c>
      <c r="L34" s="9" t="s">
        <v>72</v>
      </c>
      <c r="M34" s="31" t="s">
        <v>98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74</v>
      </c>
      <c r="D35" s="6" t="s">
        <v>99</v>
      </c>
      <c r="E35" s="42" t="s">
        <v>95</v>
      </c>
      <c r="F35" s="42" t="s">
        <v>100</v>
      </c>
      <c r="G35" s="6" t="s">
        <v>101</v>
      </c>
      <c r="H35" s="6" t="s">
        <v>102</v>
      </c>
      <c r="I35" s="8">
        <v>0</v>
      </c>
      <c r="J35" s="8">
        <v>0.99930555555555556</v>
      </c>
      <c r="K35" s="9">
        <v>43941</v>
      </c>
      <c r="L35" s="9" t="s">
        <v>72</v>
      </c>
      <c r="M35" s="31" t="s">
        <v>103</v>
      </c>
    </row>
    <row r="36" spans="1:13" ht="6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99</v>
      </c>
      <c r="E36" s="42" t="s">
        <v>95</v>
      </c>
      <c r="F36" s="42" t="s">
        <v>100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43941</v>
      </c>
      <c r="L36" s="9" t="s">
        <v>72</v>
      </c>
      <c r="M36" s="31" t="s">
        <v>103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106</v>
      </c>
      <c r="D37" s="6" t="s">
        <v>91</v>
      </c>
      <c r="E37" s="42" t="s">
        <v>107</v>
      </c>
      <c r="F37" s="42" t="s">
        <v>108</v>
      </c>
      <c r="G37" s="6" t="s">
        <v>88</v>
      </c>
      <c r="H37" s="6" t="s">
        <v>89</v>
      </c>
      <c r="I37" s="8">
        <v>0</v>
      </c>
      <c r="J37" s="8">
        <v>0.99930555555555556</v>
      </c>
      <c r="K37" s="9">
        <v>46287</v>
      </c>
      <c r="L37" s="9" t="s">
        <v>72</v>
      </c>
      <c r="M37" s="31" t="s">
        <v>90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106</v>
      </c>
      <c r="C38" s="6" t="s">
        <v>109</v>
      </c>
      <c r="D38" s="6" t="s">
        <v>91</v>
      </c>
      <c r="E38" s="42" t="s">
        <v>110</v>
      </c>
      <c r="F38" s="42" t="s">
        <v>111</v>
      </c>
      <c r="G38" s="6" t="s">
        <v>88</v>
      </c>
      <c r="H38" s="6" t="s">
        <v>89</v>
      </c>
      <c r="I38" s="8">
        <v>0</v>
      </c>
      <c r="J38" s="8">
        <v>0.99930555555555556</v>
      </c>
      <c r="K38" s="9">
        <v>46287</v>
      </c>
      <c r="L38" s="9" t="s">
        <v>72</v>
      </c>
      <c r="M38" s="31" t="s">
        <v>90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106</v>
      </c>
      <c r="C39" s="6" t="s">
        <v>106</v>
      </c>
      <c r="D39" s="6" t="s">
        <v>112</v>
      </c>
      <c r="E39" s="42" t="s">
        <v>110</v>
      </c>
      <c r="F39" s="42" t="s">
        <v>113</v>
      </c>
      <c r="G39" s="6" t="s">
        <v>88</v>
      </c>
      <c r="H39" s="6" t="s">
        <v>89</v>
      </c>
      <c r="I39" s="8">
        <v>0</v>
      </c>
      <c r="J39" s="8">
        <v>0.99930555555555556</v>
      </c>
      <c r="K39" s="9">
        <v>46287</v>
      </c>
      <c r="L39" s="9" t="s">
        <v>72</v>
      </c>
      <c r="M39" s="31" t="s">
        <v>90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106</v>
      </c>
      <c r="C40" s="6" t="s">
        <v>106</v>
      </c>
      <c r="D40" s="6" t="s">
        <v>75</v>
      </c>
      <c r="E40" s="42" t="s">
        <v>110</v>
      </c>
      <c r="F40" s="42" t="s">
        <v>114</v>
      </c>
      <c r="G40" s="6" t="s">
        <v>115</v>
      </c>
      <c r="H40" s="6" t="s">
        <v>116</v>
      </c>
      <c r="I40" s="8">
        <v>0</v>
      </c>
      <c r="J40" s="8">
        <v>0.20833333333333334</v>
      </c>
      <c r="K40" s="9">
        <v>46295</v>
      </c>
      <c r="L40" s="9">
        <v>46295</v>
      </c>
      <c r="M40" s="31" t="s">
        <v>117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106</v>
      </c>
      <c r="C41" s="6" t="s">
        <v>106</v>
      </c>
      <c r="D41" s="6" t="s">
        <v>75</v>
      </c>
      <c r="E41" s="42" t="s">
        <v>110</v>
      </c>
      <c r="F41" s="42" t="s">
        <v>114</v>
      </c>
      <c r="G41" s="6" t="s">
        <v>115</v>
      </c>
      <c r="H41" s="6" t="s">
        <v>118</v>
      </c>
      <c r="I41" s="8">
        <v>0.95833333333333337</v>
      </c>
      <c r="J41" s="8">
        <v>0.99930555555555556</v>
      </c>
      <c r="K41" s="9">
        <v>46295</v>
      </c>
      <c r="L41" s="9">
        <v>46295</v>
      </c>
      <c r="M41" s="31" t="s">
        <v>117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106</v>
      </c>
      <c r="C42" s="6" t="s">
        <v>109</v>
      </c>
      <c r="D42" s="6" t="s">
        <v>112</v>
      </c>
      <c r="E42" s="42" t="s">
        <v>119</v>
      </c>
      <c r="F42" s="42" t="s">
        <v>120</v>
      </c>
      <c r="G42" s="6" t="s">
        <v>115</v>
      </c>
      <c r="H42" s="6" t="s">
        <v>121</v>
      </c>
      <c r="I42" s="8">
        <v>0.95833333333333337</v>
      </c>
      <c r="J42" s="8">
        <v>0.99930555555555556</v>
      </c>
      <c r="K42" s="9">
        <v>46295</v>
      </c>
      <c r="L42" s="9">
        <v>46295</v>
      </c>
      <c r="M42" s="31" t="s">
        <v>122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106</v>
      </c>
      <c r="C43" s="6" t="s">
        <v>109</v>
      </c>
      <c r="D43" s="6" t="s">
        <v>112</v>
      </c>
      <c r="E43" s="42" t="s">
        <v>123</v>
      </c>
      <c r="F43" s="42" t="s">
        <v>124</v>
      </c>
      <c r="G43" s="6" t="s">
        <v>88</v>
      </c>
      <c r="H43" s="6" t="s">
        <v>89</v>
      </c>
      <c r="I43" s="8">
        <v>0</v>
      </c>
      <c r="J43" s="8">
        <v>0.99930555555555556</v>
      </c>
      <c r="K43" s="9">
        <v>46287</v>
      </c>
      <c r="L43" s="9" t="s">
        <v>72</v>
      </c>
      <c r="M43" s="31" t="s">
        <v>90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109</v>
      </c>
      <c r="C44" s="6" t="s">
        <v>109</v>
      </c>
      <c r="D44" s="6" t="s">
        <v>75</v>
      </c>
      <c r="E44" s="42">
        <v>69</v>
      </c>
      <c r="F44" s="42">
        <v>71</v>
      </c>
      <c r="G44" s="6" t="s">
        <v>115</v>
      </c>
      <c r="H44" s="6" t="s">
        <v>125</v>
      </c>
      <c r="I44" s="8">
        <v>0.875</v>
      </c>
      <c r="J44" s="8">
        <v>0.99930555555555556</v>
      </c>
      <c r="K44" s="9">
        <v>46295</v>
      </c>
      <c r="L44" s="9">
        <v>46295</v>
      </c>
      <c r="M44" s="31" t="s">
        <v>126</v>
      </c>
    </row>
    <row r="45" spans="1:13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109</v>
      </c>
      <c r="C45" s="6" t="s">
        <v>109</v>
      </c>
      <c r="D45" s="6" t="s">
        <v>112</v>
      </c>
      <c r="E45" s="42" t="s">
        <v>127</v>
      </c>
      <c r="F45" s="42" t="s">
        <v>128</v>
      </c>
      <c r="G45" s="6" t="s">
        <v>129</v>
      </c>
      <c r="H45" s="6" t="s">
        <v>130</v>
      </c>
      <c r="I45" s="8">
        <v>0</v>
      </c>
      <c r="J45" s="8">
        <v>0.99930555555555556</v>
      </c>
      <c r="K45" s="9">
        <v>46227</v>
      </c>
      <c r="L45" s="9" t="s">
        <v>72</v>
      </c>
      <c r="M45" s="31" t="s">
        <v>98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109</v>
      </c>
      <c r="C46" s="6" t="s">
        <v>109</v>
      </c>
      <c r="D46" s="6" t="s">
        <v>75</v>
      </c>
      <c r="E46" s="42" t="s">
        <v>131</v>
      </c>
      <c r="F46" s="42" t="s">
        <v>132</v>
      </c>
      <c r="G46" s="6" t="s">
        <v>209</v>
      </c>
      <c r="H46" s="6" t="s">
        <v>133</v>
      </c>
      <c r="I46" s="8">
        <v>0.33333333333333331</v>
      </c>
      <c r="J46" s="8">
        <v>0.39583333333333331</v>
      </c>
      <c r="K46" s="9">
        <v>46295</v>
      </c>
      <c r="L46" s="9">
        <v>46295</v>
      </c>
      <c r="M46" s="31" t="s">
        <v>134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109</v>
      </c>
      <c r="C47" s="6" t="s">
        <v>109</v>
      </c>
      <c r="D47" s="6" t="s">
        <v>75</v>
      </c>
      <c r="E47" s="42" t="s">
        <v>131</v>
      </c>
      <c r="F47" s="42" t="s">
        <v>132</v>
      </c>
      <c r="G47" s="6" t="s">
        <v>115</v>
      </c>
      <c r="H47" s="6" t="s">
        <v>135</v>
      </c>
      <c r="I47" s="8">
        <v>0.41666666666666669</v>
      </c>
      <c r="J47" s="8">
        <v>0.72916666666666663</v>
      </c>
      <c r="K47" s="9">
        <v>46295</v>
      </c>
      <c r="L47" s="9">
        <v>46295</v>
      </c>
      <c r="M47" s="31" t="s">
        <v>134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109</v>
      </c>
      <c r="C48" s="6" t="s">
        <v>109</v>
      </c>
      <c r="D48" s="6" t="s">
        <v>75</v>
      </c>
      <c r="E48" s="42" t="s">
        <v>131</v>
      </c>
      <c r="F48" s="42" t="s">
        <v>132</v>
      </c>
      <c r="G48" s="6" t="s">
        <v>209</v>
      </c>
      <c r="H48" s="6" t="s">
        <v>133</v>
      </c>
      <c r="I48" s="8">
        <v>0.72916666666666663</v>
      </c>
      <c r="J48" s="8">
        <v>0.83333333333333337</v>
      </c>
      <c r="K48" s="9">
        <v>46295</v>
      </c>
      <c r="L48" s="9">
        <v>46295</v>
      </c>
      <c r="M48" s="31" t="s">
        <v>134</v>
      </c>
    </row>
    <row r="49" spans="1:13" ht="6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109</v>
      </c>
      <c r="C49" s="6" t="s">
        <v>109</v>
      </c>
      <c r="D49" s="6" t="s">
        <v>136</v>
      </c>
      <c r="E49" s="42" t="s">
        <v>137</v>
      </c>
      <c r="F49" s="42" t="s">
        <v>138</v>
      </c>
      <c r="G49" s="6" t="s">
        <v>129</v>
      </c>
      <c r="H49" s="6" t="s">
        <v>139</v>
      </c>
      <c r="I49" s="8">
        <v>0</v>
      </c>
      <c r="J49" s="8">
        <v>0.99930555555555556</v>
      </c>
      <c r="K49" s="9">
        <v>45632</v>
      </c>
      <c r="L49" s="9" t="s">
        <v>72</v>
      </c>
      <c r="M49" s="31" t="s">
        <v>98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109</v>
      </c>
      <c r="C50" s="6" t="s">
        <v>109</v>
      </c>
      <c r="D50" s="6" t="s">
        <v>91</v>
      </c>
      <c r="E50" s="42" t="s">
        <v>140</v>
      </c>
      <c r="F50" s="42" t="s">
        <v>124</v>
      </c>
      <c r="G50" s="6" t="s">
        <v>88</v>
      </c>
      <c r="H50" s="6" t="s">
        <v>89</v>
      </c>
      <c r="I50" s="8">
        <v>0</v>
      </c>
      <c r="J50" s="8">
        <v>0.99930555555555556</v>
      </c>
      <c r="K50" s="9">
        <v>46287</v>
      </c>
      <c r="L50" s="9" t="s">
        <v>72</v>
      </c>
      <c r="M50" s="31" t="s">
        <v>90</v>
      </c>
    </row>
    <row r="51" spans="1:13" ht="45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109</v>
      </c>
      <c r="C51" s="6" t="s">
        <v>109</v>
      </c>
      <c r="D51" s="6" t="s">
        <v>91</v>
      </c>
      <c r="E51" s="42" t="s">
        <v>141</v>
      </c>
      <c r="F51" s="42" t="s">
        <v>142</v>
      </c>
      <c r="G51" s="6" t="s">
        <v>129</v>
      </c>
      <c r="H51" s="6" t="s">
        <v>143</v>
      </c>
      <c r="I51" s="8">
        <v>0</v>
      </c>
      <c r="J51" s="8">
        <v>0.99930555555555556</v>
      </c>
      <c r="K51" s="9">
        <v>45905</v>
      </c>
      <c r="L51" s="9" t="s">
        <v>72</v>
      </c>
      <c r="M51" s="31" t="s">
        <v>98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109</v>
      </c>
      <c r="C52" s="6" t="s">
        <v>109</v>
      </c>
      <c r="D52" s="6" t="s">
        <v>144</v>
      </c>
      <c r="E52" s="42" t="s">
        <v>145</v>
      </c>
      <c r="F52" s="42">
        <v>129.1</v>
      </c>
      <c r="G52" s="6" t="s">
        <v>146</v>
      </c>
      <c r="H52" s="6" t="s">
        <v>72</v>
      </c>
      <c r="I52" s="8">
        <v>0</v>
      </c>
      <c r="J52" s="8">
        <v>0.99930555555555556</v>
      </c>
      <c r="K52" s="9">
        <v>43068</v>
      </c>
      <c r="L52" s="9" t="s">
        <v>72</v>
      </c>
      <c r="M52" s="31" t="s">
        <v>90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109</v>
      </c>
      <c r="C53" s="6" t="s">
        <v>109</v>
      </c>
      <c r="D53" s="6" t="s">
        <v>147</v>
      </c>
      <c r="E53" s="42" t="s">
        <v>148</v>
      </c>
      <c r="F53" s="42" t="s">
        <v>149</v>
      </c>
      <c r="G53" s="6" t="s">
        <v>70</v>
      </c>
      <c r="H53" s="6" t="s">
        <v>72</v>
      </c>
      <c r="I53" s="8">
        <v>0</v>
      </c>
      <c r="J53" s="8">
        <v>0.99930555555555556</v>
      </c>
      <c r="K53" s="9">
        <v>42990</v>
      </c>
      <c r="L53" s="9" t="s">
        <v>72</v>
      </c>
      <c r="M53" s="31" t="s">
        <v>90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109</v>
      </c>
      <c r="C54" s="6" t="s">
        <v>109</v>
      </c>
      <c r="D54" s="6" t="s">
        <v>150</v>
      </c>
      <c r="E54" s="42" t="s">
        <v>148</v>
      </c>
      <c r="F54" s="42">
        <v>129.1</v>
      </c>
      <c r="G54" s="6" t="s">
        <v>70</v>
      </c>
      <c r="H54" s="6" t="s">
        <v>151</v>
      </c>
      <c r="I54" s="8">
        <v>0</v>
      </c>
      <c r="J54" s="8">
        <v>0.99930555555555556</v>
      </c>
      <c r="K54" s="9">
        <v>43767</v>
      </c>
      <c r="L54" s="9" t="s">
        <v>72</v>
      </c>
      <c r="M54" s="31" t="s">
        <v>90</v>
      </c>
    </row>
    <row r="55" spans="1:13" ht="6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109</v>
      </c>
      <c r="C55" s="6" t="s">
        <v>109</v>
      </c>
      <c r="D55" s="6" t="s">
        <v>147</v>
      </c>
      <c r="E55" s="42" t="s">
        <v>148</v>
      </c>
      <c r="F55" s="42" t="s">
        <v>152</v>
      </c>
      <c r="G55" s="6" t="s">
        <v>115</v>
      </c>
      <c r="H55" s="6" t="s">
        <v>153</v>
      </c>
      <c r="I55" s="8">
        <v>0</v>
      </c>
      <c r="J55" s="8">
        <v>0.20833333333333334</v>
      </c>
      <c r="K55" s="9">
        <v>46295</v>
      </c>
      <c r="L55" s="9">
        <v>46295</v>
      </c>
      <c r="M55" s="31" t="s">
        <v>154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109</v>
      </c>
      <c r="C56" s="6" t="s">
        <v>155</v>
      </c>
      <c r="D56" s="6" t="s">
        <v>91</v>
      </c>
      <c r="E56" s="42" t="s">
        <v>156</v>
      </c>
      <c r="F56" s="42" t="s">
        <v>157</v>
      </c>
      <c r="G56" s="6" t="s">
        <v>88</v>
      </c>
      <c r="H56" s="6" t="s">
        <v>89</v>
      </c>
      <c r="I56" s="8">
        <v>0</v>
      </c>
      <c r="J56" s="8">
        <v>0.99930555555555556</v>
      </c>
      <c r="K56" s="9">
        <v>46287</v>
      </c>
      <c r="L56" s="9" t="s">
        <v>72</v>
      </c>
      <c r="M56" s="31" t="s">
        <v>90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109</v>
      </c>
      <c r="C57" s="6" t="s">
        <v>155</v>
      </c>
      <c r="D57" s="6" t="s">
        <v>112</v>
      </c>
      <c r="E57" s="42" t="s">
        <v>158</v>
      </c>
      <c r="F57" s="42" t="s">
        <v>159</v>
      </c>
      <c r="G57" s="6" t="s">
        <v>88</v>
      </c>
      <c r="H57" s="6" t="s">
        <v>89</v>
      </c>
      <c r="I57" s="8">
        <v>0</v>
      </c>
      <c r="J57" s="8">
        <v>0.99930555555555556</v>
      </c>
      <c r="K57" s="9">
        <v>46287</v>
      </c>
      <c r="L57" s="9" t="s">
        <v>72</v>
      </c>
      <c r="M57" s="31" t="s">
        <v>90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155</v>
      </c>
      <c r="C58" s="6" t="s">
        <v>160</v>
      </c>
      <c r="D58" s="6" t="s">
        <v>75</v>
      </c>
      <c r="E58" s="42">
        <v>82</v>
      </c>
      <c r="F58" s="42">
        <v>84</v>
      </c>
      <c r="G58" s="6" t="s">
        <v>115</v>
      </c>
      <c r="H58" s="6" t="s">
        <v>161</v>
      </c>
      <c r="I58" s="8">
        <v>0</v>
      </c>
      <c r="J58" s="8">
        <v>0.20833333333333334</v>
      </c>
      <c r="K58" s="9">
        <v>46295</v>
      </c>
      <c r="L58" s="9">
        <v>46295</v>
      </c>
      <c r="M58" s="31" t="s">
        <v>126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155</v>
      </c>
      <c r="C59" s="6" t="s">
        <v>155</v>
      </c>
      <c r="D59" s="6" t="s">
        <v>162</v>
      </c>
      <c r="E59" s="42" t="s">
        <v>163</v>
      </c>
      <c r="F59" s="42" t="s">
        <v>164</v>
      </c>
      <c r="G59" s="6" t="s">
        <v>165</v>
      </c>
      <c r="H59" s="6" t="s">
        <v>166</v>
      </c>
      <c r="I59" s="8">
        <v>0</v>
      </c>
      <c r="J59" s="8">
        <v>0.99930555555555556</v>
      </c>
      <c r="K59" s="9">
        <v>46258</v>
      </c>
      <c r="L59" s="9" t="s">
        <v>72</v>
      </c>
      <c r="M59" s="31" t="s">
        <v>167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155</v>
      </c>
      <c r="C60" s="6" t="s">
        <v>155</v>
      </c>
      <c r="D60" s="6" t="s">
        <v>91</v>
      </c>
      <c r="E60" s="42" t="s">
        <v>159</v>
      </c>
      <c r="F60" s="42" t="s">
        <v>168</v>
      </c>
      <c r="G60" s="6" t="s">
        <v>88</v>
      </c>
      <c r="H60" s="6" t="s">
        <v>89</v>
      </c>
      <c r="I60" s="8">
        <v>0</v>
      </c>
      <c r="J60" s="8">
        <v>0.99930555555555556</v>
      </c>
      <c r="K60" s="9">
        <v>46287</v>
      </c>
      <c r="L60" s="9" t="s">
        <v>72</v>
      </c>
      <c r="M60" s="31" t="s">
        <v>90</v>
      </c>
    </row>
    <row r="61" spans="1:13" ht="6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155</v>
      </c>
      <c r="C61" s="6" t="s">
        <v>155</v>
      </c>
      <c r="D61" s="6" t="s">
        <v>169</v>
      </c>
      <c r="E61" s="42" t="s">
        <v>170</v>
      </c>
      <c r="F61" s="42" t="s">
        <v>171</v>
      </c>
      <c r="G61" s="6" t="s">
        <v>129</v>
      </c>
      <c r="H61" s="6" t="s">
        <v>172</v>
      </c>
      <c r="I61" s="8">
        <v>0</v>
      </c>
      <c r="J61" s="8">
        <v>0.99930555555555556</v>
      </c>
      <c r="K61" s="9">
        <v>45469</v>
      </c>
      <c r="L61" s="9" t="s">
        <v>72</v>
      </c>
      <c r="M61" s="31" t="s">
        <v>173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155</v>
      </c>
      <c r="C62" s="6" t="s">
        <v>160</v>
      </c>
      <c r="D62" s="6" t="s">
        <v>85</v>
      </c>
      <c r="E62" s="42" t="s">
        <v>168</v>
      </c>
      <c r="F62" s="42" t="s">
        <v>174</v>
      </c>
      <c r="G62" s="6" t="s">
        <v>175</v>
      </c>
      <c r="H62" s="6" t="s">
        <v>89</v>
      </c>
      <c r="I62" s="8">
        <v>0</v>
      </c>
      <c r="J62" s="8">
        <v>0.99930555555555556</v>
      </c>
      <c r="K62" s="9">
        <v>46287</v>
      </c>
      <c r="L62" s="9" t="s">
        <v>72</v>
      </c>
      <c r="M62" s="31" t="s">
        <v>90</v>
      </c>
    </row>
    <row r="63" spans="1:13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155</v>
      </c>
      <c r="C63" s="6" t="s">
        <v>160</v>
      </c>
      <c r="D63" s="6" t="s">
        <v>85</v>
      </c>
      <c r="E63" s="42" t="s">
        <v>176</v>
      </c>
      <c r="F63" s="42" t="s">
        <v>177</v>
      </c>
      <c r="G63" s="6" t="s">
        <v>129</v>
      </c>
      <c r="H63" s="6" t="s">
        <v>178</v>
      </c>
      <c r="I63" s="8">
        <v>0</v>
      </c>
      <c r="J63" s="8">
        <v>0.99930555555555556</v>
      </c>
      <c r="K63" s="9">
        <v>46255</v>
      </c>
      <c r="L63" s="9" t="s">
        <v>72</v>
      </c>
      <c r="M63" s="31" t="s">
        <v>179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180</v>
      </c>
      <c r="C64" s="6" t="s">
        <v>180</v>
      </c>
      <c r="D64" s="6" t="s">
        <v>85</v>
      </c>
      <c r="E64" s="42">
        <v>3</v>
      </c>
      <c r="F64" s="42">
        <v>3.3</v>
      </c>
      <c r="G64" s="6" t="s">
        <v>129</v>
      </c>
      <c r="H64" s="6" t="s">
        <v>181</v>
      </c>
      <c r="I64" s="8">
        <v>0</v>
      </c>
      <c r="J64" s="8">
        <v>0.99930555555555556</v>
      </c>
      <c r="K64" s="9">
        <v>45386</v>
      </c>
      <c r="L64" s="9" t="s">
        <v>72</v>
      </c>
      <c r="M64" s="31" t="s">
        <v>173</v>
      </c>
    </row>
    <row r="65" spans="1:13" ht="30.75" thickBot="1" x14ac:dyDescent="0.3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180</v>
      </c>
      <c r="C65" s="6" t="s">
        <v>180</v>
      </c>
      <c r="D65" s="6" t="s">
        <v>182</v>
      </c>
      <c r="E65" s="42">
        <v>4</v>
      </c>
      <c r="F65" s="42">
        <v>4.07</v>
      </c>
      <c r="G65" s="6" t="s">
        <v>183</v>
      </c>
      <c r="H65" s="6" t="s">
        <v>184</v>
      </c>
      <c r="I65" s="8">
        <v>0</v>
      </c>
      <c r="J65" s="8">
        <v>0.99930555555555556</v>
      </c>
      <c r="K65" s="9">
        <v>45588</v>
      </c>
      <c r="L65" s="9" t="s">
        <v>72</v>
      </c>
      <c r="M65" s="31" t="s">
        <v>173</v>
      </c>
    </row>
    <row r="66" spans="1:13" ht="22.5" customHeight="1" thickBot="1" x14ac:dyDescent="0.3">
      <c r="A66" s="47"/>
      <c r="B66" s="48"/>
      <c r="C66" s="48"/>
      <c r="D66" s="123" t="s">
        <v>27</v>
      </c>
      <c r="E66" s="123"/>
      <c r="F66" s="123"/>
      <c r="G66" s="123"/>
      <c r="H66" s="123"/>
      <c r="I66" s="123"/>
      <c r="J66" s="123"/>
      <c r="K66" s="123"/>
      <c r="L66" s="48"/>
      <c r="M66" s="49"/>
    </row>
    <row r="67" spans="1:13" ht="9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109</v>
      </c>
      <c r="C67" s="6" t="s">
        <v>109</v>
      </c>
      <c r="D67" s="6" t="s">
        <v>185</v>
      </c>
      <c r="E67" s="42" t="s">
        <v>186</v>
      </c>
      <c r="F67" s="42" t="s">
        <v>187</v>
      </c>
      <c r="G67" s="6" t="s">
        <v>115</v>
      </c>
      <c r="H67" s="6" t="s">
        <v>188</v>
      </c>
      <c r="I67" s="8">
        <v>0.45833333333333331</v>
      </c>
      <c r="J67" s="8">
        <v>0.70833333333333337</v>
      </c>
      <c r="K67" s="9">
        <v>46295</v>
      </c>
      <c r="L67" s="9">
        <v>46295</v>
      </c>
      <c r="M67" s="31" t="s">
        <v>154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109</v>
      </c>
      <c r="C68" s="6" t="s">
        <v>109</v>
      </c>
      <c r="D68" s="6" t="s">
        <v>185</v>
      </c>
      <c r="E68" s="42" t="s">
        <v>189</v>
      </c>
      <c r="F68" s="42" t="s">
        <v>190</v>
      </c>
      <c r="G68" s="6" t="s">
        <v>88</v>
      </c>
      <c r="H68" s="6" t="s">
        <v>89</v>
      </c>
      <c r="I68" s="8">
        <v>0</v>
      </c>
      <c r="J68" s="8">
        <v>0.99930555555555556</v>
      </c>
      <c r="K68" s="9">
        <v>46287</v>
      </c>
      <c r="L68" s="9" t="s">
        <v>72</v>
      </c>
      <c r="M68" s="31" t="s">
        <v>90</v>
      </c>
    </row>
    <row r="69" spans="1:13" ht="45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109</v>
      </c>
      <c r="C69" s="6" t="s">
        <v>109</v>
      </c>
      <c r="D69" s="6" t="s">
        <v>191</v>
      </c>
      <c r="E69" s="42" t="s">
        <v>192</v>
      </c>
      <c r="F69" s="42" t="s">
        <v>193</v>
      </c>
      <c r="G69" s="6" t="s">
        <v>115</v>
      </c>
      <c r="H69" s="6" t="s">
        <v>194</v>
      </c>
      <c r="I69" s="8">
        <v>0</v>
      </c>
      <c r="J69" s="8">
        <v>0.20833333333333334</v>
      </c>
      <c r="K69" s="9">
        <v>46295</v>
      </c>
      <c r="L69" s="9">
        <v>46295</v>
      </c>
      <c r="M69" s="31" t="s">
        <v>195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109</v>
      </c>
      <c r="C70" s="6" t="s">
        <v>109</v>
      </c>
      <c r="D70" s="6" t="s">
        <v>191</v>
      </c>
      <c r="E70" s="42" t="s">
        <v>192</v>
      </c>
      <c r="F70" s="42" t="s">
        <v>193</v>
      </c>
      <c r="G70" s="6" t="s">
        <v>115</v>
      </c>
      <c r="H70" s="6" t="s">
        <v>194</v>
      </c>
      <c r="I70" s="8">
        <v>0.45833333333333331</v>
      </c>
      <c r="J70" s="8">
        <v>0.66666666666666663</v>
      </c>
      <c r="K70" s="9">
        <v>46295</v>
      </c>
      <c r="L70" s="9">
        <v>46295</v>
      </c>
      <c r="M70" s="31" t="s">
        <v>195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196</v>
      </c>
      <c r="C71" s="6" t="s">
        <v>196</v>
      </c>
      <c r="D71" s="6" t="s">
        <v>197</v>
      </c>
      <c r="E71" s="42" t="s">
        <v>198</v>
      </c>
      <c r="F71" s="42" t="s">
        <v>199</v>
      </c>
      <c r="G71" s="6" t="s">
        <v>88</v>
      </c>
      <c r="H71" s="6" t="s">
        <v>89</v>
      </c>
      <c r="I71" s="8">
        <v>0</v>
      </c>
      <c r="J71" s="8">
        <v>0.99930555555555556</v>
      </c>
      <c r="K71" s="9">
        <v>46287</v>
      </c>
      <c r="L71" s="9" t="s">
        <v>72</v>
      </c>
      <c r="M71" s="31" t="s">
        <v>90</v>
      </c>
    </row>
    <row r="72" spans="1:13" ht="3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196</v>
      </c>
      <c r="C72" s="6" t="s">
        <v>200</v>
      </c>
      <c r="D72" s="6" t="s">
        <v>112</v>
      </c>
      <c r="E72" s="42" t="s">
        <v>201</v>
      </c>
      <c r="F72" s="42" t="s">
        <v>202</v>
      </c>
      <c r="G72" s="6" t="s">
        <v>88</v>
      </c>
      <c r="H72" s="6" t="s">
        <v>89</v>
      </c>
      <c r="I72" s="8">
        <v>0</v>
      </c>
      <c r="J72" s="8">
        <v>0.99930555555555556</v>
      </c>
      <c r="K72" s="9">
        <v>46287</v>
      </c>
      <c r="L72" s="9" t="s">
        <v>72</v>
      </c>
      <c r="M72" s="31" t="s">
        <v>90</v>
      </c>
    </row>
    <row r="73" spans="1:13" ht="7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196</v>
      </c>
      <c r="C73" s="6" t="s">
        <v>200</v>
      </c>
      <c r="D73" s="6" t="s">
        <v>191</v>
      </c>
      <c r="E73" s="42" t="s">
        <v>201</v>
      </c>
      <c r="F73" s="42" t="s">
        <v>203</v>
      </c>
      <c r="G73" s="6" t="s">
        <v>115</v>
      </c>
      <c r="H73" s="6" t="s">
        <v>204</v>
      </c>
      <c r="I73" s="8">
        <v>0.45833333333333331</v>
      </c>
      <c r="J73" s="8">
        <v>0.70833333333333337</v>
      </c>
      <c r="K73" s="9">
        <v>46295</v>
      </c>
      <c r="L73" s="9">
        <v>46295</v>
      </c>
      <c r="M73" s="31" t="s">
        <v>205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206</v>
      </c>
      <c r="C74" s="6" t="s">
        <v>206</v>
      </c>
      <c r="D74" s="6" t="s">
        <v>191</v>
      </c>
      <c r="E74" s="42" t="s">
        <v>207</v>
      </c>
      <c r="F74" s="42" t="s">
        <v>208</v>
      </c>
      <c r="G74" s="6" t="s">
        <v>209</v>
      </c>
      <c r="H74" s="6" t="s">
        <v>210</v>
      </c>
      <c r="I74" s="8">
        <v>0.625</v>
      </c>
      <c r="J74" s="8">
        <v>0.66666666666666663</v>
      </c>
      <c r="K74" s="9">
        <v>45719</v>
      </c>
      <c r="L74" s="9" t="s">
        <v>72</v>
      </c>
      <c r="M74" s="31" t="s">
        <v>211</v>
      </c>
    </row>
    <row r="75" spans="1:13" ht="3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206</v>
      </c>
      <c r="C75" s="6" t="s">
        <v>212</v>
      </c>
      <c r="D75" s="6" t="s">
        <v>213</v>
      </c>
      <c r="E75" s="42" t="s">
        <v>214</v>
      </c>
      <c r="F75" s="42" t="s">
        <v>215</v>
      </c>
      <c r="G75" s="6" t="s">
        <v>216</v>
      </c>
      <c r="H75" s="6" t="s">
        <v>217</v>
      </c>
      <c r="I75" s="8">
        <v>0</v>
      </c>
      <c r="J75" s="8">
        <v>0.27083333333333331</v>
      </c>
      <c r="K75" s="9">
        <v>44737</v>
      </c>
      <c r="L75" s="9" t="s">
        <v>72</v>
      </c>
      <c r="M75" s="31" t="s">
        <v>218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206</v>
      </c>
      <c r="C76" s="6" t="s">
        <v>212</v>
      </c>
      <c r="D76" s="6" t="s">
        <v>213</v>
      </c>
      <c r="E76" s="42" t="s">
        <v>214</v>
      </c>
      <c r="F76" s="42" t="s">
        <v>215</v>
      </c>
      <c r="G76" s="6" t="s">
        <v>216</v>
      </c>
      <c r="H76" s="6" t="s">
        <v>217</v>
      </c>
      <c r="I76" s="8">
        <v>0.9375</v>
      </c>
      <c r="J76" s="8">
        <v>0.99930555555555556</v>
      </c>
      <c r="K76" s="9">
        <v>44737</v>
      </c>
      <c r="L76" s="9" t="s">
        <v>72</v>
      </c>
      <c r="M76" s="31" t="s">
        <v>218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206</v>
      </c>
      <c r="C77" s="6" t="s">
        <v>212</v>
      </c>
      <c r="D77" s="6" t="s">
        <v>91</v>
      </c>
      <c r="E77" s="42" t="s">
        <v>219</v>
      </c>
      <c r="F77" s="42" t="s">
        <v>220</v>
      </c>
      <c r="G77" s="6" t="s">
        <v>88</v>
      </c>
      <c r="H77" s="6" t="s">
        <v>89</v>
      </c>
      <c r="I77" s="8">
        <v>0</v>
      </c>
      <c r="J77" s="8">
        <v>0.99930555555555556</v>
      </c>
      <c r="K77" s="9">
        <v>46287</v>
      </c>
      <c r="L77" s="9" t="s">
        <v>72</v>
      </c>
      <c r="M77" s="31" t="s">
        <v>90</v>
      </c>
    </row>
    <row r="78" spans="1:13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212</v>
      </c>
      <c r="C78" s="6" t="s">
        <v>212</v>
      </c>
      <c r="D78" s="6" t="s">
        <v>213</v>
      </c>
      <c r="E78" s="42" t="s">
        <v>221</v>
      </c>
      <c r="F78" s="42" t="s">
        <v>222</v>
      </c>
      <c r="G78" s="6" t="s">
        <v>216</v>
      </c>
      <c r="H78" s="6" t="s">
        <v>223</v>
      </c>
      <c r="I78" s="8">
        <v>0</v>
      </c>
      <c r="J78" s="8">
        <v>0.99930555555555556</v>
      </c>
      <c r="K78" s="9">
        <v>46277</v>
      </c>
      <c r="L78" s="9" t="s">
        <v>72</v>
      </c>
      <c r="M78" s="31" t="s">
        <v>224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212</v>
      </c>
      <c r="C79" s="6" t="s">
        <v>225</v>
      </c>
      <c r="D79" s="6" t="s">
        <v>91</v>
      </c>
      <c r="E79" s="42" t="s">
        <v>226</v>
      </c>
      <c r="F79" s="42" t="s">
        <v>227</v>
      </c>
      <c r="G79" s="6" t="s">
        <v>115</v>
      </c>
      <c r="H79" s="6" t="s">
        <v>228</v>
      </c>
      <c r="I79" s="8">
        <v>0.95833333333333337</v>
      </c>
      <c r="J79" s="8">
        <v>0.99930555555555556</v>
      </c>
      <c r="K79" s="9">
        <v>46295</v>
      </c>
      <c r="L79" s="9">
        <v>46295</v>
      </c>
      <c r="M79" s="31" t="s">
        <v>122</v>
      </c>
    </row>
    <row r="80" spans="1:13" ht="45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225</v>
      </c>
      <c r="C80" s="6" t="s">
        <v>225</v>
      </c>
      <c r="D80" s="6" t="s">
        <v>213</v>
      </c>
      <c r="E80" s="42" t="s">
        <v>229</v>
      </c>
      <c r="F80" s="42" t="s">
        <v>230</v>
      </c>
      <c r="G80" s="6" t="s">
        <v>209</v>
      </c>
      <c r="H80" s="6" t="s">
        <v>231</v>
      </c>
      <c r="I80" s="8">
        <v>0.29166666666666669</v>
      </c>
      <c r="J80" s="8">
        <v>0.375</v>
      </c>
      <c r="K80" s="9">
        <v>45365</v>
      </c>
      <c r="L80" s="9" t="s">
        <v>72</v>
      </c>
      <c r="M80" s="31" t="s">
        <v>211</v>
      </c>
    </row>
    <row r="81" spans="1:13" ht="45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225</v>
      </c>
      <c r="C81" s="6" t="s">
        <v>225</v>
      </c>
      <c r="D81" s="6" t="s">
        <v>213</v>
      </c>
      <c r="E81" s="42" t="s">
        <v>229</v>
      </c>
      <c r="F81" s="42" t="s">
        <v>230</v>
      </c>
      <c r="G81" s="6" t="s">
        <v>209</v>
      </c>
      <c r="H81" s="6" t="s">
        <v>231</v>
      </c>
      <c r="I81" s="8">
        <v>0.56944444444444442</v>
      </c>
      <c r="J81" s="8">
        <v>0.59375</v>
      </c>
      <c r="K81" s="9">
        <v>45365</v>
      </c>
      <c r="L81" s="9" t="s">
        <v>72</v>
      </c>
      <c r="M81" s="31" t="s">
        <v>211</v>
      </c>
    </row>
    <row r="82" spans="1:13" ht="4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225</v>
      </c>
      <c r="C82" s="6" t="s">
        <v>225</v>
      </c>
      <c r="D82" s="6" t="s">
        <v>213</v>
      </c>
      <c r="E82" s="42" t="s">
        <v>229</v>
      </c>
      <c r="F82" s="42" t="s">
        <v>230</v>
      </c>
      <c r="G82" s="6" t="s">
        <v>209</v>
      </c>
      <c r="H82" s="6" t="s">
        <v>231</v>
      </c>
      <c r="I82" s="8">
        <v>0.70833333333333337</v>
      </c>
      <c r="J82" s="8">
        <v>0.83333333333333337</v>
      </c>
      <c r="K82" s="9">
        <v>45365</v>
      </c>
      <c r="L82" s="9" t="s">
        <v>72</v>
      </c>
      <c r="M82" s="31" t="s">
        <v>211</v>
      </c>
    </row>
    <row r="83" spans="1:13" ht="4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225</v>
      </c>
      <c r="C83" s="6" t="s">
        <v>232</v>
      </c>
      <c r="D83" s="6" t="s">
        <v>75</v>
      </c>
      <c r="E83" s="42">
        <v>24</v>
      </c>
      <c r="F83" s="42">
        <v>26</v>
      </c>
      <c r="G83" s="6" t="s">
        <v>115</v>
      </c>
      <c r="H83" s="6" t="s">
        <v>233</v>
      </c>
      <c r="I83" s="8">
        <v>0.58333333333333337</v>
      </c>
      <c r="J83" s="8">
        <v>0.70833333333333337</v>
      </c>
      <c r="K83" s="9">
        <v>46295</v>
      </c>
      <c r="L83" s="9">
        <v>46295</v>
      </c>
      <c r="M83" s="31" t="s">
        <v>126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225</v>
      </c>
      <c r="C84" s="6" t="s">
        <v>232</v>
      </c>
      <c r="D84" s="6" t="s">
        <v>75</v>
      </c>
      <c r="E84" s="42">
        <v>25</v>
      </c>
      <c r="F84" s="42">
        <v>27</v>
      </c>
      <c r="G84" s="6" t="s">
        <v>115</v>
      </c>
      <c r="H84" s="6" t="s">
        <v>234</v>
      </c>
      <c r="I84" s="8">
        <v>0.45833333333333331</v>
      </c>
      <c r="J84" s="8">
        <v>0.58333333333333337</v>
      </c>
      <c r="K84" s="9">
        <v>46295</v>
      </c>
      <c r="L84" s="9">
        <v>46295</v>
      </c>
      <c r="M84" s="31" t="s">
        <v>126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225</v>
      </c>
      <c r="C85" s="6" t="s">
        <v>232</v>
      </c>
      <c r="D85" s="6" t="s">
        <v>112</v>
      </c>
      <c r="E85" s="42" t="s">
        <v>235</v>
      </c>
      <c r="F85" s="42" t="s">
        <v>236</v>
      </c>
      <c r="G85" s="6" t="s">
        <v>88</v>
      </c>
      <c r="H85" s="6" t="s">
        <v>89</v>
      </c>
      <c r="I85" s="8">
        <v>0</v>
      </c>
      <c r="J85" s="8">
        <v>0.99930555555555556</v>
      </c>
      <c r="K85" s="9">
        <v>46287</v>
      </c>
      <c r="L85" s="9" t="s">
        <v>72</v>
      </c>
      <c r="M85" s="31" t="s">
        <v>90</v>
      </c>
    </row>
    <row r="86" spans="1:13" ht="30.75" thickBot="1" x14ac:dyDescent="0.3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232</v>
      </c>
      <c r="C86" s="6" t="s">
        <v>232</v>
      </c>
      <c r="D86" s="6" t="s">
        <v>112</v>
      </c>
      <c r="E86" s="42" t="s">
        <v>237</v>
      </c>
      <c r="F86" s="42" t="s">
        <v>238</v>
      </c>
      <c r="G86" s="6" t="s">
        <v>115</v>
      </c>
      <c r="H86" s="6" t="s">
        <v>239</v>
      </c>
      <c r="I86" s="8">
        <v>0.95833333333333337</v>
      </c>
      <c r="J86" s="8">
        <v>0.99930555555555556</v>
      </c>
      <c r="K86" s="9">
        <v>46295</v>
      </c>
      <c r="L86" s="9">
        <v>46295</v>
      </c>
      <c r="M86" s="31" t="s">
        <v>122</v>
      </c>
    </row>
    <row r="87" spans="1:13" ht="22.5" customHeight="1" thickBot="1" x14ac:dyDescent="0.3">
      <c r="A87" s="47"/>
      <c r="B87" s="48"/>
      <c r="C87" s="48"/>
      <c r="D87" s="123" t="s">
        <v>28</v>
      </c>
      <c r="E87" s="123"/>
      <c r="F87" s="123"/>
      <c r="G87" s="123"/>
      <c r="H87" s="123"/>
      <c r="I87" s="123"/>
      <c r="J87" s="123"/>
      <c r="K87" s="123"/>
      <c r="L87" s="48"/>
      <c r="M87" s="49"/>
    </row>
    <row r="88" spans="1:13" ht="18" customHeight="1" x14ac:dyDescent="0.25">
      <c r="A88" s="163" t="s">
        <v>5</v>
      </c>
      <c r="B88" s="161" t="s">
        <v>0</v>
      </c>
      <c r="C88" s="162"/>
      <c r="D88" s="159" t="s">
        <v>11</v>
      </c>
      <c r="E88" s="167" t="s">
        <v>6</v>
      </c>
      <c r="F88" s="168"/>
      <c r="G88" s="159" t="s">
        <v>19</v>
      </c>
      <c r="H88" s="159" t="s">
        <v>16</v>
      </c>
      <c r="I88" s="128" t="s">
        <v>3</v>
      </c>
      <c r="J88" s="129"/>
      <c r="K88" s="126" t="s">
        <v>4</v>
      </c>
      <c r="L88" s="127"/>
      <c r="M88" s="124" t="s">
        <v>9</v>
      </c>
    </row>
    <row r="89" spans="1:13" ht="18" customHeight="1" x14ac:dyDescent="0.25">
      <c r="A89" s="164"/>
      <c r="B89" s="2" t="s">
        <v>1</v>
      </c>
      <c r="C89" s="5" t="s">
        <v>2</v>
      </c>
      <c r="D89" s="160"/>
      <c r="E89" s="41" t="s">
        <v>1</v>
      </c>
      <c r="F89" s="41" t="s">
        <v>2</v>
      </c>
      <c r="G89" s="160"/>
      <c r="H89" s="160"/>
      <c r="I89" s="10" t="s">
        <v>8</v>
      </c>
      <c r="J89" s="11" t="s">
        <v>17</v>
      </c>
      <c r="K89" s="11" t="s">
        <v>8</v>
      </c>
      <c r="L89" s="11" t="s">
        <v>17</v>
      </c>
      <c r="M89" s="125"/>
    </row>
    <row r="90" spans="1:13" ht="3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240</v>
      </c>
      <c r="C90" s="6" t="s">
        <v>66</v>
      </c>
      <c r="D90" s="6" t="s">
        <v>241</v>
      </c>
      <c r="E90" s="42" t="s">
        <v>242</v>
      </c>
      <c r="F90" s="42" t="s">
        <v>243</v>
      </c>
      <c r="G90" s="6" t="s">
        <v>244</v>
      </c>
      <c r="H90" s="6" t="s">
        <v>245</v>
      </c>
      <c r="I90" s="46">
        <v>0.66666666666666663</v>
      </c>
      <c r="J90" s="46">
        <v>0.83333333333333337</v>
      </c>
      <c r="K90" s="9">
        <v>46295</v>
      </c>
      <c r="L90" s="9">
        <v>46295</v>
      </c>
      <c r="M90" s="31" t="s">
        <v>246</v>
      </c>
    </row>
    <row r="91" spans="1:13" ht="7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247</v>
      </c>
      <c r="C91" s="6" t="s">
        <v>66</v>
      </c>
      <c r="D91" s="6" t="s">
        <v>248</v>
      </c>
      <c r="E91" s="42" t="s">
        <v>249</v>
      </c>
      <c r="F91" s="42" t="s">
        <v>243</v>
      </c>
      <c r="G91" s="6" t="s">
        <v>244</v>
      </c>
      <c r="H91" s="6" t="s">
        <v>250</v>
      </c>
      <c r="I91" s="46">
        <v>0.66666666666666663</v>
      </c>
      <c r="J91" s="46">
        <v>0.83333333333333337</v>
      </c>
      <c r="K91" s="9">
        <v>46295</v>
      </c>
      <c r="L91" s="9">
        <v>46295</v>
      </c>
      <c r="M91" s="31" t="s">
        <v>246</v>
      </c>
    </row>
    <row r="92" spans="1:13" ht="7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247</v>
      </c>
      <c r="C92" s="6" t="s">
        <v>109</v>
      </c>
      <c r="D92" s="6" t="s">
        <v>248</v>
      </c>
      <c r="E92" s="42" t="s">
        <v>251</v>
      </c>
      <c r="F92" s="42" t="s">
        <v>252</v>
      </c>
      <c r="G92" s="6" t="s">
        <v>244</v>
      </c>
      <c r="H92" s="6" t="s">
        <v>253</v>
      </c>
      <c r="I92" s="46">
        <v>0</v>
      </c>
      <c r="J92" s="46">
        <v>0.20833333333333334</v>
      </c>
      <c r="K92" s="9">
        <v>46295</v>
      </c>
      <c r="L92" s="9">
        <v>46295</v>
      </c>
      <c r="M92" s="31" t="s">
        <v>254</v>
      </c>
    </row>
    <row r="93" spans="1:13" ht="9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247</v>
      </c>
      <c r="C93" s="6" t="s">
        <v>109</v>
      </c>
      <c r="D93" s="6" t="s">
        <v>248</v>
      </c>
      <c r="E93" s="42" t="s">
        <v>251</v>
      </c>
      <c r="F93" s="42" t="s">
        <v>252</v>
      </c>
      <c r="G93" s="6" t="s">
        <v>244</v>
      </c>
      <c r="H93" s="6" t="s">
        <v>255</v>
      </c>
      <c r="I93" s="46">
        <v>0</v>
      </c>
      <c r="J93" s="46">
        <v>0.20833333333333334</v>
      </c>
      <c r="K93" s="9">
        <v>46295</v>
      </c>
      <c r="L93" s="9">
        <v>46295</v>
      </c>
      <c r="M93" s="31" t="s">
        <v>256</v>
      </c>
    </row>
    <row r="94" spans="1:13" ht="90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247</v>
      </c>
      <c r="C94" s="6" t="s">
        <v>109</v>
      </c>
      <c r="D94" s="6" t="s">
        <v>248</v>
      </c>
      <c r="E94" s="42" t="s">
        <v>251</v>
      </c>
      <c r="F94" s="42" t="s">
        <v>252</v>
      </c>
      <c r="G94" s="6" t="s">
        <v>244</v>
      </c>
      <c r="H94" s="6" t="s">
        <v>255</v>
      </c>
      <c r="I94" s="46">
        <v>0.95833333333333337</v>
      </c>
      <c r="J94" s="46">
        <v>0.99930555555555556</v>
      </c>
      <c r="K94" s="9">
        <v>46295</v>
      </c>
      <c r="L94" s="9">
        <v>46295</v>
      </c>
      <c r="M94" s="31" t="s">
        <v>256</v>
      </c>
    </row>
    <row r="95" spans="1:13" ht="7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247</v>
      </c>
      <c r="C95" s="6" t="s">
        <v>109</v>
      </c>
      <c r="D95" s="6" t="s">
        <v>248</v>
      </c>
      <c r="E95" s="42" t="s">
        <v>251</v>
      </c>
      <c r="F95" s="42" t="s">
        <v>252</v>
      </c>
      <c r="G95" s="6" t="s">
        <v>244</v>
      </c>
      <c r="H95" s="6" t="s">
        <v>253</v>
      </c>
      <c r="I95" s="46">
        <v>0.97916666666666663</v>
      </c>
      <c r="J95" s="46">
        <v>0.99930555555555556</v>
      </c>
      <c r="K95" s="9">
        <v>46295</v>
      </c>
      <c r="L95" s="9">
        <v>46295</v>
      </c>
      <c r="M95" s="31" t="s">
        <v>254</v>
      </c>
    </row>
    <row r="96" spans="1:13" ht="24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247</v>
      </c>
      <c r="C96" s="6" t="s">
        <v>232</v>
      </c>
      <c r="D96" s="6" t="s">
        <v>248</v>
      </c>
      <c r="E96" s="42" t="s">
        <v>257</v>
      </c>
      <c r="F96" s="42" t="s">
        <v>258</v>
      </c>
      <c r="G96" s="6" t="s">
        <v>244</v>
      </c>
      <c r="H96" s="6" t="s">
        <v>259</v>
      </c>
      <c r="I96" s="46">
        <v>0</v>
      </c>
      <c r="J96" s="46">
        <v>0.1875</v>
      </c>
      <c r="K96" s="9">
        <v>46295</v>
      </c>
      <c r="L96" s="9">
        <v>46295</v>
      </c>
      <c r="M96" s="31" t="s">
        <v>154</v>
      </c>
    </row>
    <row r="97" spans="1:13" ht="24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247</v>
      </c>
      <c r="C97" s="6" t="s">
        <v>232</v>
      </c>
      <c r="D97" s="6" t="s">
        <v>248</v>
      </c>
      <c r="E97" s="42" t="s">
        <v>257</v>
      </c>
      <c r="F97" s="42" t="s">
        <v>258</v>
      </c>
      <c r="G97" s="6" t="s">
        <v>244</v>
      </c>
      <c r="H97" s="6" t="s">
        <v>259</v>
      </c>
      <c r="I97" s="46">
        <v>0.98611111111111116</v>
      </c>
      <c r="J97" s="46">
        <v>0.99930555555555556</v>
      </c>
      <c r="K97" s="9">
        <v>46295</v>
      </c>
      <c r="L97" s="9">
        <v>46295</v>
      </c>
      <c r="M97" s="31" t="s">
        <v>154</v>
      </c>
    </row>
    <row r="98" spans="1:13" ht="6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106</v>
      </c>
      <c r="C98" s="6" t="s">
        <v>109</v>
      </c>
      <c r="D98" s="6" t="s">
        <v>75</v>
      </c>
      <c r="E98" s="42" t="s">
        <v>260</v>
      </c>
      <c r="F98" s="42" t="s">
        <v>261</v>
      </c>
      <c r="G98" s="6" t="s">
        <v>244</v>
      </c>
      <c r="H98" s="6" t="s">
        <v>262</v>
      </c>
      <c r="I98" s="46">
        <v>0</v>
      </c>
      <c r="J98" s="46">
        <v>0.20833333333333334</v>
      </c>
      <c r="K98" s="9">
        <v>46295</v>
      </c>
      <c r="L98" s="9">
        <v>46295</v>
      </c>
      <c r="M98" s="31" t="s">
        <v>263</v>
      </c>
    </row>
    <row r="99" spans="1:13" ht="13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109</v>
      </c>
      <c r="C99" s="6" t="s">
        <v>160</v>
      </c>
      <c r="D99" s="6" t="s">
        <v>248</v>
      </c>
      <c r="E99" s="42" t="s">
        <v>264</v>
      </c>
      <c r="F99" s="42" t="s">
        <v>265</v>
      </c>
      <c r="G99" s="6" t="s">
        <v>244</v>
      </c>
      <c r="H99" s="6" t="s">
        <v>290</v>
      </c>
      <c r="I99" s="46">
        <v>0</v>
      </c>
      <c r="J99" s="46">
        <v>0.20833333333333334</v>
      </c>
      <c r="K99" s="9">
        <v>46295</v>
      </c>
      <c r="L99" s="9">
        <v>46295</v>
      </c>
      <c r="M99" s="31" t="s">
        <v>266</v>
      </c>
    </row>
    <row r="100" spans="1:13" ht="13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109</v>
      </c>
      <c r="C100" s="6" t="s">
        <v>160</v>
      </c>
      <c r="D100" s="6" t="s">
        <v>248</v>
      </c>
      <c r="E100" s="42" t="s">
        <v>264</v>
      </c>
      <c r="F100" s="42" t="s">
        <v>265</v>
      </c>
      <c r="G100" s="6" t="s">
        <v>244</v>
      </c>
      <c r="H100" s="6" t="s">
        <v>290</v>
      </c>
      <c r="I100" s="46">
        <v>0.95833333333333337</v>
      </c>
      <c r="J100" s="46">
        <v>0.99930555555555556</v>
      </c>
      <c r="K100" s="9">
        <v>46295</v>
      </c>
      <c r="L100" s="9">
        <v>46295</v>
      </c>
      <c r="M100" s="31" t="s">
        <v>266</v>
      </c>
    </row>
    <row r="101" spans="1:13" ht="60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109</v>
      </c>
      <c r="C101" s="6" t="s">
        <v>109</v>
      </c>
      <c r="D101" s="6" t="s">
        <v>292</v>
      </c>
      <c r="E101" s="42" t="s">
        <v>293</v>
      </c>
      <c r="F101" s="42" t="s">
        <v>293</v>
      </c>
      <c r="G101" s="6" t="s">
        <v>244</v>
      </c>
      <c r="H101" s="6" t="s">
        <v>294</v>
      </c>
      <c r="I101" s="46">
        <v>0</v>
      </c>
      <c r="J101" s="46">
        <v>0.20833333333333334</v>
      </c>
      <c r="K101" s="9">
        <v>46295</v>
      </c>
      <c r="L101" s="9">
        <v>46295</v>
      </c>
      <c r="M101" s="31" t="s">
        <v>295</v>
      </c>
    </row>
    <row r="102" spans="1:13" ht="7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109</v>
      </c>
      <c r="C102" s="6" t="s">
        <v>109</v>
      </c>
      <c r="D102" s="6" t="s">
        <v>267</v>
      </c>
      <c r="E102" s="42" t="s">
        <v>186</v>
      </c>
      <c r="F102" s="42" t="s">
        <v>190</v>
      </c>
      <c r="G102" s="6" t="s">
        <v>244</v>
      </c>
      <c r="H102" s="6" t="s">
        <v>291</v>
      </c>
      <c r="I102" s="46">
        <v>0</v>
      </c>
      <c r="J102" s="46">
        <v>0.20833333333333334</v>
      </c>
      <c r="K102" s="9">
        <v>46295</v>
      </c>
      <c r="L102" s="9">
        <v>46295</v>
      </c>
      <c r="M102" s="31" t="s">
        <v>154</v>
      </c>
    </row>
    <row r="103" spans="1:13" ht="7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109</v>
      </c>
      <c r="C103" s="6" t="s">
        <v>109</v>
      </c>
      <c r="D103" s="6" t="s">
        <v>267</v>
      </c>
      <c r="E103" s="42" t="s">
        <v>186</v>
      </c>
      <c r="F103" s="42" t="s">
        <v>190</v>
      </c>
      <c r="G103" s="6" t="s">
        <v>244</v>
      </c>
      <c r="H103" s="6" t="s">
        <v>291</v>
      </c>
      <c r="I103" s="46">
        <v>0.98611111111111116</v>
      </c>
      <c r="J103" s="46">
        <v>0.99930555555555556</v>
      </c>
      <c r="K103" s="9">
        <v>46295</v>
      </c>
      <c r="L103" s="9">
        <v>46295</v>
      </c>
      <c r="M103" s="31" t="s">
        <v>154</v>
      </c>
    </row>
    <row r="104" spans="1:13" ht="13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109</v>
      </c>
      <c r="C104" s="6" t="s">
        <v>232</v>
      </c>
      <c r="D104" s="6" t="s">
        <v>248</v>
      </c>
      <c r="E104" s="42" t="s">
        <v>268</v>
      </c>
      <c r="F104" s="42" t="s">
        <v>258</v>
      </c>
      <c r="G104" s="6" t="s">
        <v>244</v>
      </c>
      <c r="H104" s="6" t="s">
        <v>269</v>
      </c>
      <c r="I104" s="46">
        <v>0</v>
      </c>
      <c r="J104" s="46">
        <v>0.20833333333333334</v>
      </c>
      <c r="K104" s="9">
        <v>46295</v>
      </c>
      <c r="L104" s="9">
        <v>46295</v>
      </c>
      <c r="M104" s="31" t="s">
        <v>266</v>
      </c>
    </row>
    <row r="105" spans="1:13" ht="7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109</v>
      </c>
      <c r="C105" s="6" t="s">
        <v>232</v>
      </c>
      <c r="D105" s="6" t="s">
        <v>248</v>
      </c>
      <c r="E105" s="42" t="s">
        <v>268</v>
      </c>
      <c r="F105" s="42" t="s">
        <v>258</v>
      </c>
      <c r="G105" s="6" t="s">
        <v>244</v>
      </c>
      <c r="H105" s="6" t="s">
        <v>270</v>
      </c>
      <c r="I105" s="46">
        <v>0</v>
      </c>
      <c r="J105" s="46">
        <v>0.20833333333333334</v>
      </c>
      <c r="K105" s="9">
        <v>46295</v>
      </c>
      <c r="L105" s="9">
        <v>46295</v>
      </c>
      <c r="M105" s="31" t="s">
        <v>254</v>
      </c>
    </row>
    <row r="106" spans="1:13" ht="13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109</v>
      </c>
      <c r="C106" s="6" t="s">
        <v>232</v>
      </c>
      <c r="D106" s="6" t="s">
        <v>248</v>
      </c>
      <c r="E106" s="42" t="s">
        <v>268</v>
      </c>
      <c r="F106" s="42" t="s">
        <v>258</v>
      </c>
      <c r="G106" s="6" t="s">
        <v>244</v>
      </c>
      <c r="H106" s="6" t="s">
        <v>269</v>
      </c>
      <c r="I106" s="46">
        <v>0.95833333333333337</v>
      </c>
      <c r="J106" s="46">
        <v>0.99930555555555556</v>
      </c>
      <c r="K106" s="9">
        <v>46295</v>
      </c>
      <c r="L106" s="9">
        <v>46295</v>
      </c>
      <c r="M106" s="31" t="s">
        <v>266</v>
      </c>
    </row>
    <row r="107" spans="1:13" ht="7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109</v>
      </c>
      <c r="C107" s="6" t="s">
        <v>232</v>
      </c>
      <c r="D107" s="6" t="s">
        <v>248</v>
      </c>
      <c r="E107" s="42" t="s">
        <v>268</v>
      </c>
      <c r="F107" s="42" t="s">
        <v>258</v>
      </c>
      <c r="G107" s="6" t="s">
        <v>244</v>
      </c>
      <c r="H107" s="6" t="s">
        <v>270</v>
      </c>
      <c r="I107" s="46">
        <v>0.97916666666666663</v>
      </c>
      <c r="J107" s="46">
        <v>0.99930555555555556</v>
      </c>
      <c r="K107" s="9">
        <v>46295</v>
      </c>
      <c r="L107" s="9">
        <v>46295</v>
      </c>
      <c r="M107" s="31" t="s">
        <v>254</v>
      </c>
    </row>
    <row r="108" spans="1:13" ht="90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109</v>
      </c>
      <c r="C108" s="6" t="s">
        <v>109</v>
      </c>
      <c r="D108" s="6" t="s">
        <v>248</v>
      </c>
      <c r="E108" s="42" t="s">
        <v>192</v>
      </c>
      <c r="F108" s="42" t="s">
        <v>193</v>
      </c>
      <c r="G108" s="6" t="s">
        <v>244</v>
      </c>
      <c r="H108" s="6" t="s">
        <v>271</v>
      </c>
      <c r="I108" s="46">
        <v>0</v>
      </c>
      <c r="J108" s="46">
        <v>0.20833333333333334</v>
      </c>
      <c r="K108" s="9">
        <v>46295</v>
      </c>
      <c r="L108" s="9">
        <v>46295</v>
      </c>
      <c r="M108" s="31" t="s">
        <v>195</v>
      </c>
    </row>
    <row r="109" spans="1:13" ht="13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109</v>
      </c>
      <c r="C109" s="6" t="s">
        <v>200</v>
      </c>
      <c r="D109" s="6" t="s">
        <v>91</v>
      </c>
      <c r="E109" s="42" t="s">
        <v>272</v>
      </c>
      <c r="F109" s="42" t="s">
        <v>201</v>
      </c>
      <c r="G109" s="6" t="s">
        <v>244</v>
      </c>
      <c r="H109" s="6" t="s">
        <v>273</v>
      </c>
      <c r="I109" s="46">
        <v>0</v>
      </c>
      <c r="J109" s="46">
        <v>0.20833333333333334</v>
      </c>
      <c r="K109" s="9">
        <v>46295</v>
      </c>
      <c r="L109" s="9">
        <v>46295</v>
      </c>
      <c r="M109" s="31" t="s">
        <v>154</v>
      </c>
    </row>
    <row r="110" spans="1:13" ht="13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109</v>
      </c>
      <c r="C110" s="6" t="s">
        <v>200</v>
      </c>
      <c r="D110" s="6" t="s">
        <v>91</v>
      </c>
      <c r="E110" s="42" t="s">
        <v>272</v>
      </c>
      <c r="F110" s="42" t="s">
        <v>201</v>
      </c>
      <c r="G110" s="6" t="s">
        <v>244</v>
      </c>
      <c r="H110" s="6" t="s">
        <v>273</v>
      </c>
      <c r="I110" s="46">
        <v>0.98611111111111116</v>
      </c>
      <c r="J110" s="46">
        <v>0.99930555555555556</v>
      </c>
      <c r="K110" s="9">
        <v>46295</v>
      </c>
      <c r="L110" s="9">
        <v>46295</v>
      </c>
      <c r="M110" s="31" t="s">
        <v>154</v>
      </c>
    </row>
    <row r="111" spans="1:13" ht="13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196</v>
      </c>
      <c r="C111" s="6" t="s">
        <v>206</v>
      </c>
      <c r="D111" s="6" t="s">
        <v>91</v>
      </c>
      <c r="E111" s="42" t="s">
        <v>201</v>
      </c>
      <c r="F111" s="42" t="s">
        <v>274</v>
      </c>
      <c r="G111" s="6" t="s">
        <v>244</v>
      </c>
      <c r="H111" s="6" t="s">
        <v>275</v>
      </c>
      <c r="I111" s="46">
        <v>0</v>
      </c>
      <c r="J111" s="46">
        <v>0.20833333333333334</v>
      </c>
      <c r="K111" s="9">
        <v>46295</v>
      </c>
      <c r="L111" s="9">
        <v>46295</v>
      </c>
      <c r="M111" s="31" t="s">
        <v>154</v>
      </c>
    </row>
    <row r="112" spans="1:13" ht="13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196</v>
      </c>
      <c r="C112" s="6" t="s">
        <v>206</v>
      </c>
      <c r="D112" s="6" t="s">
        <v>91</v>
      </c>
      <c r="E112" s="42" t="s">
        <v>201</v>
      </c>
      <c r="F112" s="42" t="s">
        <v>274</v>
      </c>
      <c r="G112" s="6" t="s">
        <v>244</v>
      </c>
      <c r="H112" s="6" t="s">
        <v>275</v>
      </c>
      <c r="I112" s="46">
        <v>0.98611111111111116</v>
      </c>
      <c r="J112" s="46">
        <v>0.99930555555555556</v>
      </c>
      <c r="K112" s="9">
        <v>46295</v>
      </c>
      <c r="L112" s="9">
        <v>46295</v>
      </c>
      <c r="M112" s="31" t="s">
        <v>154</v>
      </c>
    </row>
    <row r="113" spans="1:13" ht="7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206</v>
      </c>
      <c r="C113" s="6" t="s">
        <v>212</v>
      </c>
      <c r="D113" s="6" t="s">
        <v>91</v>
      </c>
      <c r="E113" s="42" t="s">
        <v>274</v>
      </c>
      <c r="F113" s="42" t="s">
        <v>276</v>
      </c>
      <c r="G113" s="6" t="s">
        <v>244</v>
      </c>
      <c r="H113" s="6" t="s">
        <v>277</v>
      </c>
      <c r="I113" s="46">
        <v>0</v>
      </c>
      <c r="J113" s="46">
        <v>0.20833333333333334</v>
      </c>
      <c r="K113" s="9">
        <v>46295</v>
      </c>
      <c r="L113" s="9">
        <v>46295</v>
      </c>
      <c r="M113" s="31" t="s">
        <v>154</v>
      </c>
    </row>
    <row r="114" spans="1:13" ht="7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206</v>
      </c>
      <c r="C114" s="6" t="s">
        <v>212</v>
      </c>
      <c r="D114" s="6" t="s">
        <v>91</v>
      </c>
      <c r="E114" s="42" t="s">
        <v>274</v>
      </c>
      <c r="F114" s="42" t="s">
        <v>276</v>
      </c>
      <c r="G114" s="6" t="s">
        <v>244</v>
      </c>
      <c r="H114" s="6" t="s">
        <v>277</v>
      </c>
      <c r="I114" s="46">
        <v>0.98611111111111116</v>
      </c>
      <c r="J114" s="46">
        <v>0.99930555555555556</v>
      </c>
      <c r="K114" s="9">
        <v>46295</v>
      </c>
      <c r="L114" s="9">
        <v>46295</v>
      </c>
      <c r="M114" s="31" t="s">
        <v>154</v>
      </c>
    </row>
    <row r="115" spans="1:13" ht="7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206</v>
      </c>
      <c r="C115" s="6" t="s">
        <v>225</v>
      </c>
      <c r="D115" s="6" t="s">
        <v>91</v>
      </c>
      <c r="E115" s="42" t="s">
        <v>276</v>
      </c>
      <c r="F115" s="42" t="s">
        <v>278</v>
      </c>
      <c r="G115" s="6" t="s">
        <v>244</v>
      </c>
      <c r="H115" s="6" t="s">
        <v>279</v>
      </c>
      <c r="I115" s="46">
        <v>0</v>
      </c>
      <c r="J115" s="46">
        <v>0.20833333333333334</v>
      </c>
      <c r="K115" s="9">
        <v>46295</v>
      </c>
      <c r="L115" s="9">
        <v>46295</v>
      </c>
      <c r="M115" s="31" t="s">
        <v>154</v>
      </c>
    </row>
    <row r="116" spans="1:13" ht="7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206</v>
      </c>
      <c r="C116" s="6" t="s">
        <v>225</v>
      </c>
      <c r="D116" s="6" t="s">
        <v>91</v>
      </c>
      <c r="E116" s="42" t="s">
        <v>276</v>
      </c>
      <c r="F116" s="42" t="s">
        <v>278</v>
      </c>
      <c r="G116" s="6" t="s">
        <v>244</v>
      </c>
      <c r="H116" s="6" t="s">
        <v>279</v>
      </c>
      <c r="I116" s="46">
        <v>0.98611111111111116</v>
      </c>
      <c r="J116" s="46">
        <v>0.99930555555555556</v>
      </c>
      <c r="K116" s="9">
        <v>46295</v>
      </c>
      <c r="L116" s="9">
        <v>46295</v>
      </c>
      <c r="M116" s="31" t="s">
        <v>154</v>
      </c>
    </row>
    <row r="117" spans="1:13" ht="13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212</v>
      </c>
      <c r="C117" s="6" t="s">
        <v>232</v>
      </c>
      <c r="D117" s="6" t="s">
        <v>91</v>
      </c>
      <c r="E117" s="42" t="s">
        <v>278</v>
      </c>
      <c r="F117" s="42" t="s">
        <v>280</v>
      </c>
      <c r="G117" s="6" t="s">
        <v>244</v>
      </c>
      <c r="H117" s="6" t="s">
        <v>281</v>
      </c>
      <c r="I117" s="46">
        <v>0</v>
      </c>
      <c r="J117" s="46">
        <v>0.20833333333333334</v>
      </c>
      <c r="K117" s="9">
        <v>46295</v>
      </c>
      <c r="L117" s="9">
        <v>46295</v>
      </c>
      <c r="M117" s="31" t="s">
        <v>154</v>
      </c>
    </row>
    <row r="118" spans="1:13" ht="13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212</v>
      </c>
      <c r="C118" s="6" t="s">
        <v>232</v>
      </c>
      <c r="D118" s="6" t="s">
        <v>91</v>
      </c>
      <c r="E118" s="42" t="s">
        <v>278</v>
      </c>
      <c r="F118" s="42" t="s">
        <v>280</v>
      </c>
      <c r="G118" s="6" t="s">
        <v>244</v>
      </c>
      <c r="H118" s="6" t="s">
        <v>281</v>
      </c>
      <c r="I118" s="46">
        <v>0.98611111111111116</v>
      </c>
      <c r="J118" s="46">
        <v>0.99930555555555556</v>
      </c>
      <c r="K118" s="9">
        <v>46295</v>
      </c>
      <c r="L118" s="9">
        <v>46295</v>
      </c>
      <c r="M118" s="31" t="s">
        <v>154</v>
      </c>
    </row>
    <row r="119" spans="1:13" ht="4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212</v>
      </c>
      <c r="C119" s="6" t="s">
        <v>225</v>
      </c>
      <c r="D119" s="6" t="s">
        <v>91</v>
      </c>
      <c r="E119" s="42" t="s">
        <v>282</v>
      </c>
      <c r="F119" s="42" t="s">
        <v>283</v>
      </c>
      <c r="G119" s="6" t="s">
        <v>244</v>
      </c>
      <c r="H119" s="6" t="s">
        <v>284</v>
      </c>
      <c r="I119" s="46">
        <v>0</v>
      </c>
      <c r="J119" s="46">
        <v>0.20833333333333334</v>
      </c>
      <c r="K119" s="9">
        <v>46295</v>
      </c>
      <c r="L119" s="9">
        <v>46295</v>
      </c>
      <c r="M119" s="31" t="s">
        <v>263</v>
      </c>
    </row>
    <row r="120" spans="1:13" ht="45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232</v>
      </c>
      <c r="C120" s="6" t="s">
        <v>232</v>
      </c>
      <c r="D120" s="6" t="s">
        <v>112</v>
      </c>
      <c r="E120" s="42" t="s">
        <v>237</v>
      </c>
      <c r="F120" s="42" t="s">
        <v>238</v>
      </c>
      <c r="G120" s="6" t="s">
        <v>244</v>
      </c>
      <c r="H120" s="6" t="s">
        <v>285</v>
      </c>
      <c r="I120" s="46">
        <v>0</v>
      </c>
      <c r="J120" s="46">
        <v>0.20833333333333334</v>
      </c>
      <c r="K120" s="9">
        <v>46295</v>
      </c>
      <c r="L120" s="9">
        <v>46295</v>
      </c>
      <c r="M120" s="31" t="s">
        <v>263</v>
      </c>
    </row>
    <row r="121" spans="1:13" ht="13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247</v>
      </c>
      <c r="C121" s="6" t="s">
        <v>247</v>
      </c>
      <c r="D121" s="101" t="s">
        <v>286</v>
      </c>
      <c r="E121" s="102"/>
      <c r="F121" s="102"/>
      <c r="G121" s="103"/>
      <c r="H121" s="6" t="s">
        <v>287</v>
      </c>
      <c r="I121" s="46">
        <v>0.33333333333333331</v>
      </c>
      <c r="J121" s="46">
        <v>0.75</v>
      </c>
      <c r="K121" s="9">
        <v>46295</v>
      </c>
      <c r="L121" s="9">
        <v>46295</v>
      </c>
      <c r="M121" s="31" t="s">
        <v>288</v>
      </c>
    </row>
    <row r="122" spans="1:13" ht="13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212</v>
      </c>
      <c r="C122" s="6" t="s">
        <v>212</v>
      </c>
      <c r="D122" s="101" t="s">
        <v>286</v>
      </c>
      <c r="E122" s="102"/>
      <c r="F122" s="102"/>
      <c r="G122" s="103"/>
      <c r="H122" s="6" t="s">
        <v>289</v>
      </c>
      <c r="I122" s="46">
        <v>0</v>
      </c>
      <c r="J122" s="46">
        <v>0.16666666666666666</v>
      </c>
      <c r="K122" s="9">
        <v>46295</v>
      </c>
      <c r="L122" s="9">
        <v>46295</v>
      </c>
      <c r="M122" s="31" t="s">
        <v>288</v>
      </c>
    </row>
    <row r="123" spans="1:13" ht="13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212</v>
      </c>
      <c r="C123" s="6" t="s">
        <v>212</v>
      </c>
      <c r="D123" s="101" t="s">
        <v>286</v>
      </c>
      <c r="E123" s="102"/>
      <c r="F123" s="102"/>
      <c r="G123" s="103"/>
      <c r="H123" s="6" t="s">
        <v>289</v>
      </c>
      <c r="I123" s="46">
        <v>0.95833333333333337</v>
      </c>
      <c r="J123" s="46">
        <v>0.99930555555555556</v>
      </c>
      <c r="K123" s="9">
        <v>46295</v>
      </c>
      <c r="L123" s="9">
        <v>46295</v>
      </c>
      <c r="M123" s="31" t="s">
        <v>288</v>
      </c>
    </row>
    <row r="124" spans="1:13" ht="4.5" customHeight="1" thickBot="1" x14ac:dyDescent="0.3">
      <c r="A124" s="23"/>
      <c r="B124" s="17"/>
      <c r="C124" s="18"/>
      <c r="D124" s="18"/>
      <c r="E124" s="43"/>
      <c r="F124" s="43"/>
      <c r="G124" s="18"/>
      <c r="H124" s="18"/>
      <c r="I124" s="19"/>
      <c r="J124" s="19"/>
      <c r="K124" s="20"/>
      <c r="L124" s="20"/>
      <c r="M124" s="21"/>
    </row>
    <row r="125" spans="1:13" ht="15" customHeight="1" x14ac:dyDescent="0.25">
      <c r="A125" s="104" t="s">
        <v>59</v>
      </c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6"/>
    </row>
    <row r="126" spans="1:13" ht="15" customHeight="1" thickBot="1" x14ac:dyDescent="0.3">
      <c r="A126" s="107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9"/>
    </row>
    <row r="127" spans="1:13" ht="15" customHeight="1" x14ac:dyDescent="0.25">
      <c r="A127" s="110" t="s">
        <v>60</v>
      </c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2"/>
    </row>
    <row r="128" spans="1:13" ht="15" customHeight="1" thickBot="1" x14ac:dyDescent="0.3">
      <c r="A128" s="113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5"/>
    </row>
    <row r="129" spans="1:13" s="22" customFormat="1" ht="23.25" x14ac:dyDescent="0.25">
      <c r="A129" s="116" t="s">
        <v>62</v>
      </c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8"/>
    </row>
    <row r="130" spans="1:13" s="22" customFormat="1" ht="23.25" x14ac:dyDescent="0.25">
      <c r="A130" s="175" t="s">
        <v>23</v>
      </c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7"/>
    </row>
    <row r="131" spans="1:13" s="22" customFormat="1" ht="24" thickBot="1" x14ac:dyDescent="0.3">
      <c r="A131" s="175" t="s">
        <v>24</v>
      </c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7"/>
    </row>
    <row r="132" spans="1:13" s="22" customFormat="1" ht="23.25" x14ac:dyDescent="0.25">
      <c r="A132" s="178" t="s">
        <v>63</v>
      </c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80"/>
    </row>
    <row r="133" spans="1:13" s="22" customFormat="1" ht="51.75" customHeight="1" thickBot="1" x14ac:dyDescent="0.3">
      <c r="A133" s="181" t="s">
        <v>25</v>
      </c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3"/>
    </row>
    <row r="134" spans="1:13" s="22" customFormat="1" ht="4.5" customHeight="1" thickBot="1" x14ac:dyDescent="0.3">
      <c r="A134" s="32"/>
      <c r="B134" s="33"/>
      <c r="C134" s="33"/>
      <c r="D134" s="33"/>
      <c r="E134" s="44"/>
      <c r="F134" s="44"/>
      <c r="G134" s="34"/>
      <c r="H134" s="34"/>
      <c r="I134" s="34"/>
      <c r="J134" s="34"/>
      <c r="K134" s="34"/>
      <c r="L134" s="34"/>
      <c r="M134" s="35"/>
    </row>
    <row r="135" spans="1:13" ht="22.5" customHeight="1" thickBot="1" x14ac:dyDescent="0.3">
      <c r="A135" s="47"/>
      <c r="B135" s="48"/>
      <c r="C135" s="48"/>
      <c r="D135" s="123" t="s">
        <v>56</v>
      </c>
      <c r="E135" s="123"/>
      <c r="F135" s="123"/>
      <c r="G135" s="123"/>
      <c r="H135" s="123"/>
      <c r="I135" s="123"/>
      <c r="J135" s="123"/>
      <c r="K135" s="48"/>
      <c r="L135" s="48"/>
      <c r="M135" s="49"/>
    </row>
    <row r="136" spans="1:13" s="22" customFormat="1" ht="385.5" customHeight="1" thickBot="1" x14ac:dyDescent="0.3">
      <c r="A136" s="69"/>
      <c r="B136" s="70"/>
      <c r="C136" s="71"/>
      <c r="D136" s="71"/>
      <c r="E136" s="71"/>
      <c r="F136" s="71"/>
      <c r="G136" s="71"/>
      <c r="H136" s="174"/>
      <c r="I136" s="174"/>
      <c r="J136" s="174"/>
      <c r="K136" s="174"/>
      <c r="L136" s="174"/>
      <c r="M136" s="72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4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x14ac:dyDescent="0.25">
      <c r="A163" s="67"/>
      <c r="B163" s="67"/>
      <c r="C163" s="67"/>
      <c r="D163" s="67"/>
      <c r="E163" s="68"/>
      <c r="F163" s="68"/>
      <c r="G163" s="67"/>
      <c r="H163" s="67"/>
      <c r="I163" s="67"/>
      <c r="J163" s="67"/>
      <c r="K163" s="67"/>
      <c r="L163" s="67"/>
      <c r="M163" s="67"/>
    </row>
    <row r="164" spans="1:13" x14ac:dyDescent="0.25">
      <c r="A164" s="67"/>
      <c r="B164" s="67"/>
      <c r="C164" s="67"/>
      <c r="D164" s="67"/>
      <c r="E164" s="68"/>
      <c r="F164" s="68"/>
      <c r="G164" s="67"/>
      <c r="H164" s="67"/>
      <c r="I164" s="67"/>
      <c r="J164" s="67"/>
      <c r="K164" s="67"/>
      <c r="L164" s="67"/>
      <c r="M164" s="67"/>
    </row>
  </sheetData>
  <mergeCells count="63">
    <mergeCell ref="H136:L136"/>
    <mergeCell ref="D135:J135"/>
    <mergeCell ref="A130:M130"/>
    <mergeCell ref="A131:M131"/>
    <mergeCell ref="A132:M132"/>
    <mergeCell ref="A133:M133"/>
    <mergeCell ref="D88:D89"/>
    <mergeCell ref="B88:C88"/>
    <mergeCell ref="A88:A89"/>
    <mergeCell ref="D27:D28"/>
    <mergeCell ref="D87:K87"/>
    <mergeCell ref="E88:F88"/>
    <mergeCell ref="E27:F27"/>
    <mergeCell ref="H27:H28"/>
    <mergeCell ref="D66:K66"/>
    <mergeCell ref="H88:H89"/>
    <mergeCell ref="G88:G89"/>
    <mergeCell ref="I27:J27"/>
    <mergeCell ref="K27:L27"/>
    <mergeCell ref="A27:A28"/>
    <mergeCell ref="G27:G28"/>
    <mergeCell ref="B27:C27"/>
    <mergeCell ref="E4:F4"/>
    <mergeCell ref="D26:K26"/>
    <mergeCell ref="F6:G6"/>
    <mergeCell ref="I2:M2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F7:G7"/>
    <mergeCell ref="F8:G8"/>
    <mergeCell ref="A2:B2"/>
    <mergeCell ref="A129:M129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88:M89"/>
    <mergeCell ref="K88:L88"/>
    <mergeCell ref="I88:J88"/>
    <mergeCell ref="D121:G121"/>
    <mergeCell ref="D122:G122"/>
    <mergeCell ref="D123:G123"/>
    <mergeCell ref="A125:M126"/>
    <mergeCell ref="A127:M128"/>
  </mergeCells>
  <conditionalFormatting sqref="B29:M86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6">
    <cfRule type="expression" dxfId="1" priority="10">
      <formula>AND($K29&gt;0,$K29=$L29,$G29="TOQUE PITO")</formula>
    </cfRule>
  </conditionalFormatting>
  <conditionalFormatting sqref="H29:H123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0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2026-09-29T21:27:49Z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