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13_ncr:1_{196095BF-63F2-4DF8-911B-4EAD12BD74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Hoja1!$A$1:$M$100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A29" i="1" a="1"/>
  <c r="A29" i="1" l="1"/>
  <c r="A30" i="1" a="1"/>
  <c r="A30" i="1" l="1"/>
  <c r="A31" i="1" a="1"/>
  <c r="A31" i="1" l="1"/>
  <c r="A32" i="1" a="1"/>
  <c r="A32" i="1" l="1"/>
  <c r="A33" i="1" a="1"/>
  <c r="A33" i="1" l="1"/>
  <c r="A34" i="1" a="1"/>
  <c r="A34" i="1" l="1"/>
  <c r="A35" i="1" a="1"/>
  <c r="A35" i="1" l="1"/>
  <c r="A36" i="1" a="1"/>
  <c r="A36" i="1" l="1"/>
  <c r="A37" i="1" a="1"/>
  <c r="A37" i="1" l="1"/>
  <c r="A38" i="1" a="1"/>
  <c r="A38" i="1" l="1"/>
  <c r="A39" i="1" a="1"/>
  <c r="A39" i="1" l="1"/>
  <c r="A40" i="1" a="1"/>
  <c r="A40" i="1" l="1"/>
  <c r="A41" i="1" a="1"/>
  <c r="A41" i="1" l="1"/>
  <c r="A42" i="1" a="1"/>
  <c r="A42" i="1" l="1"/>
  <c r="A43" i="1" a="1"/>
  <c r="A43" i="1" l="1"/>
  <c r="A44" i="1" a="1"/>
  <c r="A44" i="1" l="1"/>
  <c r="A45" i="1" a="1"/>
  <c r="A45" i="1" l="1"/>
  <c r="A46" i="1" a="1"/>
  <c r="A46" i="1" l="1"/>
  <c r="A47" i="1" a="1"/>
  <c r="A47" i="1" l="1"/>
  <c r="A48" i="1" a="1"/>
  <c r="A48" i="1" l="1"/>
  <c r="A49" i="1" a="1"/>
  <c r="A49" i="1" l="1"/>
  <c r="A50" i="1" a="1"/>
  <c r="A50" i="1" l="1"/>
  <c r="A51" i="1" a="1"/>
  <c r="A51" i="1" l="1"/>
  <c r="A52" i="1" a="1"/>
  <c r="A52" i="1" l="1"/>
  <c r="A53" i="1" a="1"/>
  <c r="A53" i="1" l="1"/>
  <c r="A54" i="1" a="1"/>
  <c r="A54" i="1" l="1"/>
  <c r="A55" i="1" a="1"/>
  <c r="A55" i="1" l="1"/>
  <c r="A56" i="1" a="1"/>
  <c r="A56" i="1" l="1"/>
  <c r="A57" i="1" a="1"/>
  <c r="A57" i="1" l="1"/>
  <c r="A59" i="1" a="1"/>
  <c r="A59" i="1" l="1"/>
  <c r="A60" i="1" a="1"/>
  <c r="A60" i="1" l="1"/>
  <c r="A61" i="1" a="1"/>
  <c r="A61" i="1" l="1"/>
  <c r="A62" i="1" a="1"/>
  <c r="A62" i="1" l="1"/>
  <c r="A63" i="1" a="1"/>
  <c r="A63" i="1" l="1"/>
  <c r="A64" i="1" a="1"/>
  <c r="A64" i="1" l="1"/>
  <c r="A65" i="1" a="1"/>
  <c r="A65" i="1" l="1"/>
  <c r="A66" i="1" a="1"/>
  <c r="A66" i="1" l="1"/>
  <c r="A67" i="1" a="1"/>
  <c r="A67" i="1" l="1"/>
  <c r="A68" i="1" a="1"/>
  <c r="A68" i="1" l="1"/>
  <c r="A69" i="1" a="1"/>
  <c r="A69" i="1" l="1"/>
  <c r="A70" i="1" a="1"/>
  <c r="A70" i="1" l="1"/>
  <c r="A71" i="1" a="1"/>
  <c r="A71" i="1" l="1"/>
  <c r="A72" i="1" a="1"/>
  <c r="A72" i="1" l="1"/>
  <c r="A76" i="1" a="1"/>
  <c r="A76" i="1" l="1"/>
  <c r="A77" i="1" a="1"/>
  <c r="A77" i="1" l="1"/>
  <c r="A78" i="1" a="1"/>
  <c r="A78" i="1" l="1"/>
  <c r="A79" i="1" a="1"/>
  <c r="A79" i="1" l="1"/>
  <c r="A80" i="1" a="1"/>
  <c r="A80" i="1" l="1"/>
  <c r="A81" i="1" a="1"/>
  <c r="A81" i="1" l="1"/>
  <c r="A82" i="1" a="1"/>
  <c r="A82" i="1" l="1"/>
  <c r="A83" i="1" a="1"/>
  <c r="A83" i="1" l="1"/>
  <c r="A84" i="1" a="1"/>
  <c r="A84" i="1" l="1"/>
  <c r="A85" i="1" a="1"/>
  <c r="A85" i="1" l="1"/>
  <c r="A86" i="1" a="1"/>
  <c r="A86" i="1" l="1"/>
  <c r="A87" i="1" a="1"/>
  <c r="A8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<sst xmlns="http://schemas.openxmlformats.org/spreadsheetml/2006/main" count="535" uniqueCount="247">
  <si>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</si>
  <si>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</si>
  <si>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</si>
  <si>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</si>
  <si>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</si>
  <si>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</si>
  <si>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</si>
  <si>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</si>
  <si>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</si>
  <si>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EMPRESA</t>
  </si>
  <si>
    <t>VIA</t>
  </si>
  <si>
    <t>TIPO CORTADA</t>
  </si>
  <si>
    <t>MESA CTC 1</t>
  </si>
  <si>
    <t>MESA CTC 2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</si>
  <si>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</si>
  <si>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</si>
  <si>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</si>
  <si>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</si>
  <si>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</si>
  <si>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</si>
  <si>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</si>
  <si>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</si>
  <si>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</si>
  <si>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TRENES DE PASAJEROS: VELOCIDAD MÁXIMA DE OPERACIÓN 100 KM/HORA</t>
  </si>
  <si>
    <t>TRENES DE CARGA: VELOCIDAD MÁXIMA DE OPERACIÓN 65 KM/HORA</t>
  </si>
  <si>
    <t>SE AUTORIZA EL USO DEL PUENTE FERROVIARIO ANTIGUO PK 1/3 AL PK 2/16 SOLAMENTE PARA MÓVILES DE MANTENIMIENTO EN RELACIÓN A TRABAJOS PROYECTO PUENTE (09-07-25 R. DEMETRIO)</t>
  </si>
  <si>
    <t>NOTIFICACION DE FAENAS EN EL INICIO DEL RECORRIDO (HUALQUI A TALCAHUANO)</t>
  </si>
  <si>
    <t>NOTIFICACION DE FAENAS EN EL INICIO DEL RECORRIDO (CONCEPCIÓN A CORONEL)</t>
  </si>
  <si>
    <t>PROGRAMACIÓN DE CORTADAS</t>
  </si>
  <si>
    <t>MESA SSE REMOTO</t>
  </si>
  <si>
    <t>SD-15 / BUENURAQUI - QUILACOYA</t>
  </si>
  <si>
    <t>controlador.sser@efesur.cl</t>
  </si>
  <si>
    <t>DESPACHO ELÉCTRICO CONCEPCIÓN</t>
  </si>
  <si>
    <t>despacho.electrico@efesur.cl</t>
  </si>
  <si>
    <t>BIOBÍO - CORONEL</t>
  </si>
  <si>
    <t>INSPECTOR DE TURNO CONCEPCIÓN</t>
  </si>
  <si>
    <t>ct.con@efesur.cl</t>
  </si>
  <si>
    <t>MESA CFLEX 4</t>
  </si>
  <si>
    <t>SR-TH / CC-CW</t>
  </si>
  <si>
    <t>MESA AUV 2 / CFLEX 2</t>
  </si>
  <si>
    <t>operador.concepcion@efesur.cl</t>
  </si>
  <si>
    <t>41 216 6760 / 9 9848 1086</t>
  </si>
  <si>
    <t>41 216 6767 / 41 216 6768 / 9 4271 8148</t>
  </si>
  <si>
    <t>41 216 6762</t>
  </si>
  <si>
    <t>41 216 6761</t>
  </si>
  <si>
    <t>41 216 6766 / 41 216 6770</t>
  </si>
  <si>
    <t>41 216 6763</t>
  </si>
  <si>
    <t>41 216 6765</t>
  </si>
  <si>
    <t>SD 18 / 19 / 21 / 22 / 32 / 37 / 38 / 40 / RQ-NA</t>
  </si>
  <si>
    <t>VELOCIDADES MÁXIMAS EN EL SECTOR</t>
  </si>
  <si>
    <r>
      <t xml:space="preserve">- PUENTE HUALQUI (Km 46,416): de acuerdo a norma NS-01-01-00 </t>
    </r>
    <r>
      <rPr>
        <b/>
        <sz val="12"/>
        <color rgb="FF000000"/>
        <rFont val="Calibri"/>
        <family val="2"/>
      </rPr>
      <t>CLASE B (PASAJEROS 50 km/h, CARGA 40 km/h)</t>
    </r>
    <r>
      <rPr>
        <sz val="12"/>
        <color indexed="8"/>
        <rFont val="Calibri"/>
        <family val="2"/>
      </rPr>
      <t>.</t>
    </r>
  </si>
  <si>
    <r>
      <t xml:space="preserve">- ACCESO A DESVÍO PUERTO SAN VICENTE: </t>
    </r>
    <r>
      <rPr>
        <b/>
        <sz val="14"/>
        <color rgb="FF000000"/>
        <rFont val="Calibri"/>
        <family val="2"/>
      </rPr>
      <t>10 km/h</t>
    </r>
    <r>
      <rPr>
        <sz val="12"/>
        <color indexed="8"/>
        <rFont val="Calibri"/>
        <family val="2"/>
      </rPr>
      <t xml:space="preserve"> ENTRE CAMBIO 22B (ÚLTIMO CAMBIO PATIO) Y CAMBIO 29 (200 METROS LADO NORTE PORTÓN).</t>
    </r>
  </si>
  <si>
    <t>- VELOCIDAD CONSTANTE EN TODO EL PATIO DE CARGA. POR RENOVACIÓN VÍA QUEDA DESENERGIZADO (AISLADO) DESDE KM 81 P. 33-A (LADO SUR CONCEPCIÓN) A 83 P. 6-C (LADO NORTE SAN VICENTE).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</si>
  <si>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</si>
  <si>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3. </t>
    </r>
    <r>
      <rPr>
        <b/>
        <u/>
        <sz val="12"/>
        <color rgb="FF000000"/>
        <rFont val="Calibri"/>
        <family val="2"/>
      </rPr>
      <t>PATIO EL ARENAL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TREN.</t>
    </r>
  </si>
  <si>
    <r>
      <t xml:space="preserve">4. </t>
    </r>
    <r>
      <rPr>
        <b/>
        <u/>
        <sz val="12"/>
        <color rgb="FF000000"/>
        <rFont val="Calibri"/>
        <family val="2"/>
      </rPr>
      <t>DESVÍO TRONCAL INDUSTRIAS DERIVADAS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 O MÓVIL, CON RESTRICCIÓN A </t>
    </r>
    <r>
      <rPr>
        <b/>
        <sz val="14"/>
        <color rgb="FF000000"/>
        <rFont val="Calibri"/>
        <family val="2"/>
      </rPr>
      <t>10 km/h</t>
    </r>
    <r>
      <rPr>
        <sz val="12"/>
        <color rgb="FF000000"/>
        <rFont val="Calibri"/>
        <family val="2"/>
      </rPr>
      <t xml:space="preserve"> EN ZONAS DE DESVIADORES </t>
    </r>
    <r>
      <rPr>
        <b/>
        <sz val="12"/>
        <color rgb="FF000000"/>
        <rFont val="Calibri"/>
        <family val="2"/>
      </rPr>
      <t>(Km 3,000 a 3,300 y Km 3,750 a 4,100)</t>
    </r>
    <r>
      <rPr>
        <sz val="12"/>
        <color rgb="FF000000"/>
        <rFont val="Calibri"/>
        <family val="2"/>
      </rPr>
      <t>.</t>
    </r>
  </si>
  <si>
    <t>VELOCIDADES DE PASO POR CRUCES</t>
  </si>
  <si>
    <r>
      <t xml:space="preserve">FRECUENCIA RADIAL DE COMUNICACIÓN CTC L1: </t>
    </r>
    <r>
      <rPr>
        <b/>
        <sz val="24"/>
        <color rgb="FF000000"/>
        <rFont val="Calibri"/>
        <family val="2"/>
      </rPr>
      <t>"5 CTC1 (HQ-TH)"</t>
    </r>
  </si>
  <si>
    <r>
      <t xml:space="preserve">FRECUENCIA RADIAL DE COMUNICACIÓN CTC L2: </t>
    </r>
    <r>
      <rPr>
        <b/>
        <sz val="24"/>
        <color rgb="FF000000"/>
        <rFont val="Calibri"/>
        <family val="2"/>
      </rPr>
      <t>"4 CTC2 (CC-CW)"</t>
    </r>
  </si>
  <si>
    <t>NOTA: A PERSONAL DE TRACCIÓN, NO DESPLEGAR ESPEJOS RETROVISORES DE UT EN PK 27 ENTRE POSTES 11 AL 19 POR V2 (PATRICIO ARANEDA M.)</t>
  </si>
  <si>
    <t>NOTA: A PERSONAL DE TRACCIÓN, NO HACER USO DE LA GRAN ACELERACIÓN CON UT EN L2 AMBAS VIAS (FRANCISCO MATUS)</t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</si>
  <si>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>:</t>
    </r>
  </si>
  <si>
    <t>NUEVO PUENTE BIOBÍO:</t>
  </si>
  <si>
    <t>ANTIGUO PUENTE BIOBÍO: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</si>
  <si>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</si>
  <si>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t>OIS BOLETÍN DE VIA C (SECTORES CTC)</t>
  </si>
  <si>
    <t>HUALQUI</t>
  </si>
  <si>
    <t>LA LEONERA</t>
  </si>
  <si>
    <t>AMBAS VÍAS</t>
  </si>
  <si>
    <t>46 P. 8</t>
  </si>
  <si>
    <t>48 P. 6</t>
  </si>
  <si>
    <t>30 km/h Y TOQUE PITO</t>
  </si>
  <si>
    <t>REVISIÓN DE LA CATENARIA A PIE                                                                                      MANTENIMIENTO DE ROCE PREVENTIVO / MATIAS VERGARA (P-5.1) / 921605784</t>
  </si>
  <si>
    <t>CTA SPA (RAMON QUERALES)</t>
  </si>
  <si>
    <t>PUENTE</t>
  </si>
  <si>
    <t>46 P. 10</t>
  </si>
  <si>
    <t>46 P. 15</t>
  </si>
  <si>
    <t>PASAJEROS 30 km/h,          CARGA 20 km/h</t>
  </si>
  <si>
    <t>DAÑO EN HORMIGÓN DE MESA DE APOYO DE CEPA 4</t>
  </si>
  <si>
    <t/>
  </si>
  <si>
    <t>UNIDAD DE PUENTES EFE</t>
  </si>
  <si>
    <t>TODAS</t>
  </si>
  <si>
    <t>47 P. 11</t>
  </si>
  <si>
    <t>49 P. 7</t>
  </si>
  <si>
    <t>PASAJEROS 30 km/h CARGA 20 km/h</t>
  </si>
  <si>
    <t>CONDICIÓN DE LA VÍA, TROCHA, Y DURMIENTES EN MAL ESTADO.</t>
  </si>
  <si>
    <t>EFE</t>
  </si>
  <si>
    <t>47 P. 22</t>
  </si>
  <si>
    <t>47 P. 23</t>
  </si>
  <si>
    <t>PASAJEROS 40 km/h,          CARGA 20 km/h</t>
  </si>
  <si>
    <t>PTE. LA ARAUCANA POR MAL ESTADO DE CONSERVACIÓN E INCERTIDUMBRE DE ARMADURA EXISTENTE (KM 47,950)</t>
  </si>
  <si>
    <t>50 P. 1</t>
  </si>
  <si>
    <t>PRINCIPAL Y LOCAL</t>
  </si>
  <si>
    <t>54 P. 11</t>
  </si>
  <si>
    <t>54 P. 12</t>
  </si>
  <si>
    <t>REPARAR  ALCANTARILLA E INSTALAR GUARDALASTRE. / DIEGO MENDOZA  (P-5.1) / 932440690</t>
  </si>
  <si>
    <t>CTA (MARCELA CANSINO)</t>
  </si>
  <si>
    <t>54 P. 16</t>
  </si>
  <si>
    <t>54 P. 20</t>
  </si>
  <si>
    <t>30 km/h</t>
  </si>
  <si>
    <t>CRUCE VEHICULAR PARTICULAR NO REGULADO</t>
  </si>
  <si>
    <t>EFE (Roberto Egli)</t>
  </si>
  <si>
    <t>ENLACE Ag.1-Ag.3 (V1-V2)</t>
  </si>
  <si>
    <t>54 P. 32</t>
  </si>
  <si>
    <t>20 km/h</t>
  </si>
  <si>
    <t>INGRESO DESDE HUALQUI A V-2 POR ENLACE A1-A3 (SOLO PASAJEROS), SALIDA DESDE V-2 HACIA HUALQUI POR ENLACE A3-A1 (PASAJEROS - CARGA)</t>
  </si>
  <si>
    <t>INDEFINIDAS</t>
  </si>
  <si>
    <t>SIN TRÁFICO CARGA</t>
  </si>
  <si>
    <t>SIN TRÁFICO DE CARGA DESDE HUALQUI A V-2 POR ENLACE A1-A3 / SÓLO SE AUTORIZA MANIOBRA A REVERSA DE V-1 A V-2 – ENLACE A1-A3 – A LOCOMOTORA VOLANDA (TRANSAP 60203 - FEPASA 50090), LO ANTERIOR A 10 KM/HORA</t>
  </si>
  <si>
    <t>CHIGUAYANTE</t>
  </si>
  <si>
    <t>VÍA 1</t>
  </si>
  <si>
    <t>58 P. 1</t>
  </si>
  <si>
    <t>59 P. 1</t>
  </si>
  <si>
    <t>SANAMIENTO DE VIA , APORTE DE BALASTO Y NIVELCION MANUAL. / CRISTIAN MONCADA (P-5.1) / 982656633</t>
  </si>
  <si>
    <t>60 P. 1</t>
  </si>
  <si>
    <t>60 P. 5</t>
  </si>
  <si>
    <t>MANTENIMIENTO ESTACION CHIGUAYANTE  / MAXIMILIANO MARCHANT  (P-5.1) / 956672304</t>
  </si>
  <si>
    <t>ARC (VLADIMIR MARCHANT)</t>
  </si>
  <si>
    <t>CONCEPCIÓN</t>
  </si>
  <si>
    <t>VÍA 2</t>
  </si>
  <si>
    <t>69 P. 8</t>
  </si>
  <si>
    <t>69 P. 11</t>
  </si>
  <si>
    <t>10 km/h</t>
  </si>
  <si>
    <t>CRUZAMIENTO CON FRACTURA</t>
  </si>
  <si>
    <t>EFE (ROBERTO EGLI)</t>
  </si>
  <si>
    <t>69 P. 15</t>
  </si>
  <si>
    <t>69 P. 20</t>
  </si>
  <si>
    <t xml:space="preserve"> TOQUE PITO</t>
  </si>
  <si>
    <t>TRABAJOS FUERA DE VÍA CEPA 13. AUTORIZADOS SOLO TRABAJOS FUERA DE 2,20 M.  / JOSE VALENZUELA (P-5.1) / 986889096</t>
  </si>
  <si>
    <t>OHLA (RODRIGO RAMOS)</t>
  </si>
  <si>
    <t>TRABAJOS FUERA DE VÍA CEPA 13 / JOSE VALENZUELA (P-5.1) / 986889096</t>
  </si>
  <si>
    <t>VÍA 8-B</t>
  </si>
  <si>
    <t>69 P. 30</t>
  </si>
  <si>
    <t>70 P. 4</t>
  </si>
  <si>
    <t>SE ENTREGA EN OPERACIÓN COLA DE MANIOBRAS 8-B Y EL DVR.A50, CON UN LARGO ÚTIL DE 81,50 MTS, PARA LOCOMOTORAS DIESEL EFESUR Y EFE (OTRAS LOCOMOTORAS DIESEL, DEBERÁN SER AUTORIZADAS POR GOF)</t>
  </si>
  <si>
    <t>70 P. 1</t>
  </si>
  <si>
    <t>72 P. 1</t>
  </si>
  <si>
    <t>MANTENIMIENTO DE CIRCUITOS DE VIAS CON CONTADORES DE EJES (CVE'2 (P2),CVE'4 (P4),PC2,PC3,PC4,PC5,PC1,PC6) EST.CONCEPCION / MARCELINO RUIZ (P-5.1) / 956660091</t>
  </si>
  <si>
    <t>GLOBE ICF SA (RICARDO YAÑEZ)</t>
  </si>
  <si>
    <t>70 P. 10</t>
  </si>
  <si>
    <t>70 P. 11</t>
  </si>
  <si>
    <t>FUE REEMPLAZADA LA AGUJA Y EL PROTECTOR DE AGUJA DERECHO. PREVENCIÓN DE VELOCIDAD PARA TRENES DE CARGA Y PASAJEROS. POSICION A REVERSO</t>
  </si>
  <si>
    <t>VARIANTE CC-LQ</t>
  </si>
  <si>
    <t>71 P. 3</t>
  </si>
  <si>
    <t>PASAJEROS 20 km/h,          CARGA 20 km/h</t>
  </si>
  <si>
    <t>EFE (Roberto Demetrio)</t>
  </si>
  <si>
    <t>VARIANTE BB-EZ</t>
  </si>
  <si>
    <t>0 P. 19</t>
  </si>
  <si>
    <t>71 P. 19</t>
  </si>
  <si>
    <t>VARIANTE BB-LQ</t>
  </si>
  <si>
    <t>INCLUIDO DVR A-12 (15-07-2023) EGLI</t>
  </si>
  <si>
    <t>EL ARENAL</t>
  </si>
  <si>
    <t>81 P. 2</t>
  </si>
  <si>
    <t>82 P. 8</t>
  </si>
  <si>
    <t>MANTENIMIENTO DE CIRCUITOS DE VIAS CON CONTADORES DE EJES( CVE'3(P3),CVE`1(P1) EST.ARENAL / CARLOS LARA  (P-5.1) / 995452749</t>
  </si>
  <si>
    <t>83 P. 5</t>
  </si>
  <si>
    <t>MANTENIMIENTO DE CIRCUITOS DE VIAS CON CAJAS DE SINTONÍA  CAMBIO DE LAZOS (CVE3,CVE1,CVA3A,CVA1,CVA7)EST.ARENAL / CARLOS LARA  (P-5.1) / 995452749</t>
  </si>
  <si>
    <t>PATIO</t>
  </si>
  <si>
    <t>81 P. 33</t>
  </si>
  <si>
    <t>83 P. 6</t>
  </si>
  <si>
    <t>NO DESPACHAR MÁQUINAS ELÉCTRICAS</t>
  </si>
  <si>
    <t>DEC #2925 Y #2926, NO RECIBIR NI DESPACHAR MÁQUINAS ELÉCTRICAS A PATIO ESTACIÓN EL ARENAL</t>
  </si>
  <si>
    <t>DEC</t>
  </si>
  <si>
    <t>VÍA 20</t>
  </si>
  <si>
    <t>82 P. 13</t>
  </si>
  <si>
    <t>83 P. 3</t>
  </si>
  <si>
    <t>DESVIADOR 113 OPERATIVO. DESVÍO 20 A 10 KM/H EN TODA SU EXTENSIÓN PARA TODO MÓVIL. NO INGRESAR NI SALIR DE SAN VICENTE CON EQUIPO POR EL DESVÍO 20 (SÓLO MANIOBRAS DE PATIO Y CARGA DE COMBUSTIBLE).</t>
  </si>
  <si>
    <t>EFE (Jorge Torres)</t>
  </si>
  <si>
    <t>MERCADO</t>
  </si>
  <si>
    <t>PRINCIPAL</t>
  </si>
  <si>
    <t>84 P. 17</t>
  </si>
  <si>
    <t>84 P. 19</t>
  </si>
  <si>
    <t>FALTA GEOMETRÍA, TERRENO COMLATADO</t>
  </si>
  <si>
    <t>INFRAESTRUCTURA</t>
  </si>
  <si>
    <t>INDUSTRIAS DERIVADAS</t>
  </si>
  <si>
    <t>PREVENCIÓN VÍA DE 10 KM/HR, ENTRE KM. 3 AL 3,300 HASTA NUEVA ORDEN.</t>
  </si>
  <si>
    <t>DESVIADOR 4</t>
  </si>
  <si>
    <t>10 km/h Y PROHIBICIÓN DE MANIOBRA</t>
  </si>
  <si>
    <t>(POR DESRIELO) PROHIBICION DE MANIOBRA DESDE LINEA DESVIO A DESVIO OXY L-1 Y VICEVERSA</t>
  </si>
  <si>
    <t>BIOBÍO</t>
  </si>
  <si>
    <t>1 P. 33</t>
  </si>
  <si>
    <t>INSTALACION DE FIBRA FOA Y FOS TRAMO LT CONCEPCION-LT BIO BIO ( TUNEL Y PUENTE). / ALVARO CABEZAS (P-5.1) / 954370412</t>
  </si>
  <si>
    <t>MARSUR CHILE (NATHALIE AGUILERA)</t>
  </si>
  <si>
    <t>3 P. 33</t>
  </si>
  <si>
    <t>BOCA SUR</t>
  </si>
  <si>
    <t>6 P. 1</t>
  </si>
  <si>
    <t>6 P. 30</t>
  </si>
  <si>
    <t>TRASLADO DE CERCO, EXCAVACION, MEJORAMIENTO BAJO CANTILEVER, INSTALACION DESCARGADORES DE INTERVALO Y TOPOGRAFIA. / CONSTRUCION RAMPAS DE ACCESO PUENTE INDUSTRIAL LOS BATROS .EPF  JENNY SEGUEL/CELULAR 932030208 / JENNY SEGUEL (P-5.1) / 932030208</t>
  </si>
  <si>
    <t>GRUPO PUENTE  (JENNY SEGUEL)</t>
  </si>
  <si>
    <t>LOMAS COLORADAS</t>
  </si>
  <si>
    <t>10 P. 1</t>
  </si>
  <si>
    <t>11 P. 1</t>
  </si>
  <si>
    <t>MANTENCION DESVIADORES A1 / A3/ A5 / ANGELA  EPUYAO (P-5.1) / 968721986</t>
  </si>
  <si>
    <t>PREPARACION SOLDADURA  / ERICK CONTRERAS (P-5.1) / 997746919</t>
  </si>
  <si>
    <t>12 P. 3</t>
  </si>
  <si>
    <t>12 P. 5</t>
  </si>
  <si>
    <t>TOQUE PITO</t>
  </si>
  <si>
    <t>ALTO FLUJO DE ESCOLARES, COLEGIO AMANECER</t>
  </si>
  <si>
    <t>EFE SUR</t>
  </si>
  <si>
    <t>ESCUADRÓN</t>
  </si>
  <si>
    <t>13 P. 2</t>
  </si>
  <si>
    <t>13 P. 3</t>
  </si>
  <si>
    <t>TRABAJOS DE PINTURA Y LIMPIEZA EN ANDÉN. TRABAJOS ELÉCTRICOS, SOLDADURA Y DE ILUMINACIÓN EN ANDÉN ESTACION CARDENAL RAUL SILVA HENRIQUEZ / PABLO BURGOS 991759221 / PABLO BURGOS (P-5.1) / 991759221</t>
  </si>
  <si>
    <t>GLOBE ICF (RUDOLF CHRIST)</t>
  </si>
  <si>
    <t>CRUCE</t>
  </si>
  <si>
    <t>16 P. 15</t>
  </si>
  <si>
    <t>16 P. 17</t>
  </si>
  <si>
    <t>15 km/h Y TOQUE PITO</t>
  </si>
  <si>
    <t>(PAN VIVERO LA POSADA) SIN PROTECCIÓN DE GUARDA CRUZADA, NI SISTEMA AUTOMATICO</t>
  </si>
  <si>
    <t>JUMESA</t>
  </si>
  <si>
    <t>18 P. 15</t>
  </si>
  <si>
    <t>18 P. 21</t>
  </si>
  <si>
    <t>EFE (FERNANDO ROJAS)</t>
  </si>
  <si>
    <t>PAN ESCUADRON 2 FUERA DE SERVICIO, CON GURDA CRUCES</t>
  </si>
  <si>
    <t>GLOBE ICF SA</t>
  </si>
  <si>
    <t>LAGUNILLAS</t>
  </si>
  <si>
    <t>23 P. 31</t>
  </si>
  <si>
    <t>23 P. 33</t>
  </si>
  <si>
    <t>(PAN LOS MOLINEROS) ALTA AFLUENCIA DE PUBLICO POR ACTIVIDADES (COLEGIO AMANECER) + FUNDACIÓN METODISTA DE CORONEL</t>
  </si>
  <si>
    <t>QUILACOYA</t>
  </si>
  <si>
    <t>SEÑALES Y LÍNEA DE CONTACTO</t>
  </si>
  <si>
    <t>37 P. 13</t>
  </si>
  <si>
    <t>69 P. 9</t>
  </si>
  <si>
    <t>OCUPACIÓN ORDINARIA DE VÍA</t>
  </si>
  <si>
    <t>MANTENIMIENTO DE CORRECCIÓN DEL ZIG – ZAG DEL HILO DE CONTACTO EN VEHICULO                                                                                   MANTENIMIENTO DE REVISIÓN Y MANTENCIÓN DE CONEXIONES ELÉCTRICAS                                                                                                                       MANTENIMIENTO DE TRIÁNGULOS / SE SOLICITA DESCONEXIÓN DE 3KV DESDE PV QUILACOYA-HUALQUI HASTA AMBAS VÍAS CONCEPCIÓN-CHIGUAYANTE. DESCONEXIÓN DE 2,3KV DESDE PK 46/3 HASTA PK 59/20. ADEMÁS 2,3KV DESDE PK 69/9 HASTA PK 59/20. /   NICOLAS DIAZ (P-5.1), OSCAR LEIVA (P-5.1), ISMAEL SOTO (P-6) / 9934950474, 973191983, 9920503735</t>
  </si>
  <si>
    <t xml:space="preserve">APOYO VÍAS  / SE SOLICITAN LOS 3000V DESDE AMBAS PLENAS VÍAS CONCEPCIÓN - CHIGUAYANTE HASTA LA PLENA VÍA HUALQUI - QUILACOYA Y 2300V DESDE KM 59/20 AL 46/3 (2,3KV SE SOLICITARÁN SOLO DE SER NECESARIOS O SE SECCIONARÁ EN KM 53/11) / JUAN MOLINA (P-6) JUAN LARA (P-6) / 997537989, 944031115 </t>
  </si>
  <si>
    <t>CTA  (MARCELA CANSINO)</t>
  </si>
  <si>
    <t>68 P. 26</t>
  </si>
  <si>
    <t>69 P. 22</t>
  </si>
  <si>
    <t>ATENCION DE C2 ,CAMBIO DE CUPON DE RIEL. / IGNACIO DIAZ (P-5.1) / 973228516</t>
  </si>
  <si>
    <t>4 P. 1</t>
  </si>
  <si>
    <t>INSTALACION DE FIBRA FOA Y FOS TRAMO LT CONCEPCION-LT BIO BIO ( TUNEL Y PUENTE). / SE SOLICITA DESCONEXION 3KV DESDE  PV CC AMBAS VIAS 1,2 HASTA CORONEL + 2,3KV DESDE  S/E CONCEPCION A CORONEL + 12000 VOLTS DESDE CCP A PUENTE BIO BIO  (P5.1 ALVARO CABEZAS 954370412) / RODRIGO GOMEZ (P-6) / 998634583</t>
  </si>
  <si>
    <t>CORONEL</t>
  </si>
  <si>
    <t>70 P. 22</t>
  </si>
  <si>
    <t>27 P. 49</t>
  </si>
  <si>
    <t>APOYO VÍAS / SE SOLICITAN 3KV DESDE PLENA VÍA 4 CONCEPCIÓN -. BIO BIO (70/22) HASTA  PATIO ESTACIÓN CORONEL MÁS 2300V DESDE SE ESCUADRÓN A CORONEL (2,3KV SE EVALUARÁ DESCONEXIÓN, SOLO DE SER NECESARIA) / MARTÍN CASTRO (P-6) / 934021254</t>
  </si>
  <si>
    <t>MANTENIMIENTO DE AISLADORES DE LINEAS DE MT Y AT                                                                                                                                                                                                                                                                     MANTENIMIENTO DE REPINTADO DE POSTES                                                                                                                                MANTENIMIENTO DE ROCE / SE SOLICITA DESCONEXIÓN DE 3KV DESDE PV CONCEPCION HASTA EST. CORONEL AMBAS VÍAS 1 Y 2. ADEMÁS 2,3KV S/E CONCEPCION A LOMAS COLORADAS, MÁS 2,3KV DESDE S/E ESCUADRÓN A CORONEL. /  IVAN FUENTES (P-5.1), LORENA ORTIZ (P-5.1), LUIS GARCIA (P-6) / 945016983, 961488935, 982384024</t>
  </si>
  <si>
    <t>7 P. 1</t>
  </si>
  <si>
    <t>8 P. 1</t>
  </si>
  <si>
    <t>SANAMIENTO DE VIA , APORTE DE BALASTO Y NIVELCION MANUAL. / ANGELA  EPUYAO (P-5.1) / 968721986 / VENTANA DE TRABAJO BAJO COORDINACIÓN CON CONTROLADOR DE TRÁFICO.</t>
  </si>
  <si>
    <t>SOLDADURA ALUMINOTERMICA / ERICK CONTRERAS (P-5.1) / 997746919 / VENTANA DE TRABAJO BAJO COORDINACIÓN CON CONTROLADOR DE TRÁFICO.</t>
  </si>
  <si>
    <t>SUBESTACIÓN</t>
  </si>
  <si>
    <t>MANTENIMIENTO TONDINOS, AISLADORES PASA MUROS, Y PARARRAYOS ANÓDICOS DE GRUPOS RECTIFICADORES
MANTENIMIENTOS TRANSFORMADORES DE PODER, TR1 Y TR2
MANTENIMIENTO INTERRUPTOR SF6 DE GRUPOS RECTIFICADORES 52/1 Y 52/2. MAS CAJAS DE RESUMEN. / SE SOLICITA DESCONEXIÓN DE LA BARRA DE 3KV, TOTALMENTE LIBRE Y ABIERTA DESDE SECCIONADORES TIPO CUERNO 189AL/1 AL 189/2 HASTA EL SECCIONADOR 89/1. ESTA CORTADA NO AFECTA LA SEÑALIZACIÓN. / LUIS VALDERRAMA (P-6), FRANCISCO ROMAN (P-6), LECTER BARRAZA (P-6), NELSON CARTES (P-5.1)/ (P-6) / 990770277, 978975751, 932114266, 952059514</t>
  </si>
  <si>
    <t>SIEMENS (JESÚS TRUYOL)</t>
  </si>
  <si>
    <t>MANTENIMIENTO DE CORRECCIÓN DEL ZIG – ZAG DEL HILO DE CONTACTO EN VEHICULO MANTENIMIENTO DE REVISIÓN Y MANTENCIÓN DE CONEXIONES ELÉCTRICAS                                                                                                                                                                                            MANTENIMIENTO DE TRIÁNGULOS / SE SOLICITA DESCONEXIÓN DE 3KV DESDE PV QUILACOYA-HUALQUI HASTA AMBAS VÍAS CONCEPCIÓN-CHIGUAYANTE. DESCONEXIÓN DE 2,3KV DESDE PK 46/3 HASTA PK 59/20. ADEMÁS 2,3KV DESDE PK 69/9 HASTA PK 59/20. /  IVAN FUENTES (P-5.1), LORENA ORTIZ (P-5.1), LUIS GARCIA (P-6) / 945016983, 961488935, 982384024</t>
  </si>
  <si>
    <t>TRABAJOS EN EMPALME MEDIDOR DE ENERGÍA PAN ESCUADRÓN 2 (TRABAJOS ALEJADOS DE FAJA VÍA). AUTORIZADOS SOLO TRABAJOS FUERA DE 2,20 M. / ROBERT YAÑEZ (P-5.1) / 945421571</t>
  </si>
  <si>
    <t>CARLOS SOTO PINCHEIRA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</si>
</sst>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</font>
    <font>
      <b/>
      <sz val="14"/>
      <color indexed="8"/>
      <name val="Calibri"/>
      <family val="2"/>
    </font>
    <font>
      <b/>
      <sz val="18"/>
      <name val="Calibri"/>
      <family val="2"/>
    </font>
    <font>
      <b/>
      <u/>
      <sz val="18"/>
      <name val="Calibri"/>
      <family val="2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sz val="10.5"/>
      <color indexed="8"/>
      <name val="Calibri"/>
      <family val="2"/>
    </font>
    <font>
      <sz val="10.5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sz val="11"/>
      <color indexed="8"/>
      <name val="Calibri"/>
      <family val="2"/>
    </font>
    <font>
      <b/>
      <u/>
      <sz val="12"/>
      <color rgb="FF000000"/>
      <name val="Calibri"/>
      <family val="2"/>
    </font>
    <font>
      <b/>
      <sz val="24"/>
      <color rgb="FF000000"/>
      <name val="Calibri"/>
      <family val="2"/>
    </font>
    <font>
      <b/>
      <u/>
      <sz val="16"/>
      <name val="Calibri"/>
      <family val="2"/>
    </font>
    <font>
      <b/>
      <sz val="18"/>
      <color rgb="FFC00000"/>
      <name val="Calibri"/>
      <family val="2"/>
    </font>
    <font>
      <sz val="18"/>
      <color indexed="8"/>
      <name val="Calibri"/>
      <family val="2"/>
    </font>
    <font>
      <b/>
      <sz val="18"/>
      <color indexed="8"/>
      <name val="Cavolini"/>
      <family val="4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/>
  </cellStyleXfs>
  <cellXfs count="184">
    <xf numFmtId="0" fontId="0" fillId="0" borderId="0" xfId="0"/>
    <xf numFmtId="0" fontId="6" fillId="0" borderId="0" xfId="0" applyFont="1"/>
    <xf numFmtId="14" fontId="8" fillId="3" borderId="1" xfId="1" applyNumberFormat="1" applyFont="1" applyFill="1" applyBorder="1" applyAlignment="1">
      <alignment horizontal="center" vertical="center" wrapText="1"/>
    </xf>
    <xf numFmtId="0" fontId="6" fillId="0" borderId="0" xfId="1" applyFont="1"/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1" xfId="1" applyFont="1" applyBorder="1"/>
    <xf numFmtId="0" fontId="8" fillId="0" borderId="21" xfId="1" applyFont="1" applyBorder="1" applyAlignment="1">
      <alignment vertical="center" wrapText="1"/>
    </xf>
    <xf numFmtId="14" fontId="20" fillId="0" borderId="21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14" fontId="11" fillId="2" borderId="24" xfId="1" applyNumberFormat="1" applyFont="1" applyFill="1" applyBorder="1" applyAlignment="1">
      <alignment horizontal="center" vertical="center" wrapText="1"/>
    </xf>
    <xf numFmtId="0" fontId="11" fillId="2" borderId="24" xfId="1" applyFont="1" applyFill="1" applyBorder="1" applyAlignment="1">
      <alignment horizontal="center" vertical="center" wrapText="1"/>
    </xf>
    <xf numFmtId="20" fontId="11" fillId="2" borderId="14" xfId="1" applyNumberFormat="1" applyFont="1" applyFill="1" applyBorder="1" applyAlignment="1">
      <alignment horizontal="center" vertical="center" wrapText="1"/>
    </xf>
    <xf numFmtId="165" fontId="11" fillId="2" borderId="24" xfId="1" applyNumberFormat="1" applyFont="1" applyFill="1" applyBorder="1" applyAlignment="1">
      <alignment horizontal="center" vertical="center"/>
    </xf>
    <xf numFmtId="165" fontId="11" fillId="2" borderId="25" xfId="1" applyNumberFormat="1" applyFont="1" applyFill="1" applyBorder="1" applyAlignment="1">
      <alignment horizontal="center" vertical="center"/>
    </xf>
    <xf numFmtId="0" fontId="6" fillId="0" borderId="0" xfId="2" applyFont="1"/>
    <xf numFmtId="0" fontId="7" fillId="2" borderId="23" xfId="1" applyFont="1" applyFill="1" applyBorder="1" applyAlignment="1">
      <alignment horizontal="center" vertical="center" wrapText="1"/>
    </xf>
    <xf numFmtId="0" fontId="14" fillId="0" borderId="0" xfId="4" applyFont="1" applyAlignment="1">
      <alignment horizontal="center" wrapText="1"/>
    </xf>
    <xf numFmtId="0" fontId="2" fillId="5" borderId="32" xfId="1" applyFont="1" applyFill="1" applyBorder="1" applyAlignment="1">
      <alignment vertical="center" wrapText="1"/>
    </xf>
    <xf numFmtId="0" fontId="2" fillId="5" borderId="33" xfId="1" applyFont="1" applyFill="1" applyBorder="1" applyAlignment="1">
      <alignment vertical="center" wrapText="1"/>
    </xf>
    <xf numFmtId="49" fontId="8" fillId="0" borderId="18" xfId="1" applyNumberFormat="1" applyFont="1" applyBorder="1" applyAlignment="1">
      <alignment vertical="center" wrapText="1"/>
    </xf>
    <xf numFmtId="164" fontId="10" fillId="0" borderId="18" xfId="1" applyNumberFormat="1" applyFont="1" applyBorder="1"/>
    <xf numFmtId="0" fontId="6" fillId="0" borderId="18" xfId="1" applyFont="1" applyBorder="1" applyAlignment="1">
      <alignment horizontal="center" vertical="center" wrapText="1"/>
    </xf>
    <xf numFmtId="0" fontId="12" fillId="0" borderId="40" xfId="1" applyFont="1" applyBorder="1" applyAlignment="1">
      <alignment horizontal="center" vertical="center" wrapText="1"/>
    </xf>
    <xf numFmtId="165" fontId="12" fillId="0" borderId="41" xfId="1" applyNumberFormat="1" applyFont="1" applyBorder="1" applyAlignment="1">
      <alignment horizontal="center" vertical="center" wrapText="1"/>
    </xf>
    <xf numFmtId="0" fontId="23" fillId="2" borderId="17" xfId="4" applyFont="1" applyFill="1" applyBorder="1" applyAlignment="1">
      <alignment horizontal="left"/>
    </xf>
    <xf numFmtId="0" fontId="6" fillId="2" borderId="0" xfId="0" applyFont="1" applyFill="1"/>
    <xf numFmtId="0" fontId="11" fillId="2" borderId="0" xfId="0" applyFont="1" applyFill="1"/>
    <xf numFmtId="0" fontId="11" fillId="2" borderId="18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66" fontId="3" fillId="0" borderId="21" xfId="1" applyNumberFormat="1" applyFont="1" applyBorder="1"/>
    <xf numFmtId="166" fontId="8" fillId="0" borderId="21" xfId="1" applyNumberFormat="1" applyFont="1" applyBorder="1" applyAlignment="1">
      <alignment vertical="center" wrapText="1"/>
    </xf>
    <xf numFmtId="166" fontId="6" fillId="0" borderId="0" xfId="1" applyNumberFormat="1" applyFont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1" fillId="2" borderId="24" xfId="1" applyNumberFormat="1" applyFont="1" applyFill="1" applyBorder="1" applyAlignment="1">
      <alignment horizontal="center" vertical="center" wrapText="1"/>
    </xf>
    <xf numFmtId="166" fontId="11" fillId="2" borderId="0" xfId="0" applyNumberFormat="1" applyFont="1" applyFill="1"/>
    <xf numFmtId="166" fontId="6" fillId="0" borderId="0" xfId="0" applyNumberFormat="1" applyFont="1"/>
    <xf numFmtId="20" fontId="12" fillId="10" borderId="2" xfId="1" applyNumberFormat="1" applyFont="1" applyFill="1" applyBorder="1" applyAlignment="1">
      <alignment horizontal="center" vertical="center" wrapText="1"/>
    </xf>
    <xf numFmtId="0" fontId="15" fillId="7" borderId="29" xfId="1" applyFont="1" applyFill="1" applyBorder="1" applyAlignment="1">
      <alignment vertical="center" wrapText="1"/>
    </xf>
    <xf numFmtId="0" fontId="15" fillId="7" borderId="30" xfId="1" applyFont="1" applyFill="1" applyBorder="1" applyAlignment="1">
      <alignment vertical="center" wrapText="1"/>
    </xf>
    <xf numFmtId="0" fontId="15" fillId="7" borderId="31" xfId="1" applyFont="1" applyFill="1" applyBorder="1" applyAlignment="1">
      <alignment vertical="center" wrapText="1"/>
    </xf>
    <xf numFmtId="0" fontId="19" fillId="0" borderId="7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32" fillId="0" borderId="17" xfId="1" applyFont="1" applyBorder="1" applyAlignment="1">
      <alignment horizontal="center"/>
    </xf>
    <xf numFmtId="0" fontId="33" fillId="0" borderId="0" xfId="0" applyFont="1"/>
    <xf numFmtId="0" fontId="6" fillId="0" borderId="18" xfId="1" applyFont="1" applyBorder="1" applyAlignment="1">
      <alignment horizontal="center" wrapText="1"/>
    </xf>
    <xf numFmtId="0" fontId="33" fillId="0" borderId="18" xfId="1" applyFont="1" applyBorder="1" applyAlignment="1">
      <alignment horizontal="center" wrapText="1"/>
    </xf>
    <xf numFmtId="14" fontId="5" fillId="0" borderId="0" xfId="1" applyNumberFormat="1" applyFont="1" applyAlignment="1">
      <alignment horizontal="center" wrapText="1"/>
    </xf>
    <xf numFmtId="0" fontId="5" fillId="0" borderId="0" xfId="1" applyFont="1" applyAlignment="1">
      <alignment horizontal="left"/>
    </xf>
    <xf numFmtId="0" fontId="19" fillId="0" borderId="0" xfId="1" applyFont="1" applyAlignment="1">
      <alignment horizontal="center"/>
    </xf>
    <xf numFmtId="14" fontId="27" fillId="0" borderId="0" xfId="1" quotePrefix="1" applyNumberFormat="1" applyFont="1" applyAlignment="1">
      <alignment horizontal="left"/>
    </xf>
    <xf numFmtId="14" fontId="37" fillId="0" borderId="0" xfId="1" quotePrefix="1" applyNumberFormat="1" applyFont="1" applyAlignment="1">
      <alignment horizontal="left"/>
    </xf>
    <xf numFmtId="0" fontId="5" fillId="0" borderId="0" xfId="1" quotePrefix="1" applyFont="1" applyAlignment="1">
      <alignment horizontal="left"/>
    </xf>
    <xf numFmtId="14" fontId="27" fillId="0" borderId="0" xfId="1" quotePrefix="1" applyNumberFormat="1" applyFont="1" applyAlignment="1"/>
    <xf numFmtId="14" fontId="27" fillId="0" borderId="18" xfId="1" quotePrefix="1" applyNumberFormat="1" applyFont="1" applyBorder="1" applyAlignment="1"/>
    <xf numFmtId="0" fontId="12" fillId="0" borderId="0" xfId="0" applyFont="1" applyBorder="1" applyAlignment="1">
      <alignment vertical="center"/>
    </xf>
    <xf numFmtId="166" fontId="12" fillId="0" borderId="0" xfId="0" applyNumberFormat="1" applyFont="1" applyBorder="1" applyAlignment="1">
      <alignment vertical="center"/>
    </xf>
    <xf numFmtId="0" fontId="11" fillId="0" borderId="0" xfId="4" applyFont="1" applyBorder="1" applyAlignment="1">
      <alignment horizontal="left"/>
    </xf>
    <xf numFmtId="0" fontId="6" fillId="0" borderId="0" xfId="0" applyFont="1" applyBorder="1"/>
    <xf numFmtId="166" fontId="6" fillId="0" borderId="0" xfId="0" applyNumberFormat="1" applyFont="1" applyBorder="1"/>
    <xf numFmtId="0" fontId="11" fillId="0" borderId="29" xfId="4" applyFont="1" applyBorder="1" applyAlignment="1">
      <alignment horizontal="left"/>
    </xf>
    <xf numFmtId="0" fontId="12" fillId="0" borderId="30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12" fillId="0" borderId="31" xfId="2" applyFont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8" fillId="0" borderId="0" xfId="1" applyFont="1" applyBorder="1" applyAlignment="1">
      <alignment vertical="center" wrapText="1"/>
    </xf>
    <xf numFmtId="49" fontId="19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36" fillId="11" borderId="0" xfId="0" applyFont="1" applyFill="1" applyBorder="1" applyAlignment="1"/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/>
    <xf numFmtId="0" fontId="28" fillId="11" borderId="0" xfId="0" applyFont="1" applyFill="1" applyBorder="1" applyAlignment="1">
      <alignment horizontal="center"/>
    </xf>
    <xf numFmtId="0" fontId="35" fillId="11" borderId="0" xfId="0" applyFont="1" applyFill="1" applyBorder="1" applyAlignment="1"/>
    <xf numFmtId="0" fontId="31" fillId="11" borderId="0" xfId="3" applyFont="1" applyFill="1" applyBorder="1" applyAlignment="1">
      <alignment horizontal="center"/>
    </xf>
    <xf numFmtId="0" fontId="29" fillId="11" borderId="0" xfId="0" applyFont="1" applyFill="1" applyBorder="1" applyAlignment="1"/>
    <xf numFmtId="0" fontId="6" fillId="0" borderId="0" xfId="1" applyFont="1" applyBorder="1" applyAlignment="1"/>
    <xf numFmtId="0" fontId="30" fillId="11" borderId="0" xfId="0" applyFont="1" applyFill="1" applyBorder="1" applyAlignment="1"/>
    <xf numFmtId="0" fontId="34" fillId="11" borderId="0" xfId="0" applyFont="1" applyFill="1" applyBorder="1" applyAlignment="1">
      <alignment horizontal="center"/>
    </xf>
    <xf numFmtId="0" fontId="33" fillId="0" borderId="0" xfId="1" applyFont="1" applyBorder="1" applyAlignment="1"/>
    <xf numFmtId="0" fontId="31" fillId="11" borderId="0" xfId="3" applyFont="1" applyFill="1" applyBorder="1" applyAlignment="1"/>
    <xf numFmtId="0" fontId="32" fillId="0" borderId="19" xfId="1" applyFont="1" applyBorder="1" applyAlignment="1">
      <alignment horizontal="center"/>
    </xf>
    <xf numFmtId="0" fontId="6" fillId="0" borderId="7" xfId="1" applyFont="1" applyBorder="1"/>
    <xf numFmtId="166" fontId="6" fillId="0" borderId="7" xfId="1" applyNumberFormat="1" applyFont="1" applyBorder="1"/>
    <xf numFmtId="0" fontId="6" fillId="0" borderId="20" xfId="1" applyFont="1" applyBorder="1" applyAlignment="1">
      <alignment horizontal="center" vertical="center" wrapText="1"/>
    </xf>
    <xf numFmtId="0" fontId="5" fillId="0" borderId="0" xfId="1" applyFont="1" applyAlignment="1">
      <alignment horizontal="left" indent="6"/>
    </xf>
    <xf numFmtId="0" fontId="17" fillId="8" borderId="15" xfId="1" applyFont="1" applyFill="1" applyBorder="1" applyAlignment="1">
      <alignment horizontal="center" vertical="center" wrapText="1"/>
    </xf>
    <xf numFmtId="0" fontId="17" fillId="8" borderId="6" xfId="1" applyFont="1" applyFill="1" applyBorder="1" applyAlignment="1">
      <alignment horizontal="center" vertical="center" wrapText="1"/>
    </xf>
    <xf numFmtId="0" fontId="17" fillId="8" borderId="16" xfId="1" applyFont="1" applyFill="1" applyBorder="1" applyAlignment="1">
      <alignment horizontal="center" vertical="center" wrapText="1"/>
    </xf>
    <xf numFmtId="0" fontId="17" fillId="8" borderId="17" xfId="1" applyFont="1" applyFill="1" applyBorder="1" applyAlignment="1">
      <alignment horizontal="center" vertical="center" wrapText="1"/>
    </xf>
    <xf numFmtId="0" fontId="17" fillId="8" borderId="0" xfId="1" applyFont="1" applyFill="1" applyAlignment="1">
      <alignment horizontal="center" vertical="center" wrapText="1"/>
    </xf>
    <xf numFmtId="0" fontId="17" fillId="8" borderId="18" xfId="1" applyFont="1" applyFill="1" applyBorder="1" applyAlignment="1">
      <alignment horizontal="center" vertical="center" wrapText="1"/>
    </xf>
    <xf numFmtId="0" fontId="16" fillId="6" borderId="44" xfId="2" applyFont="1" applyFill="1" applyBorder="1" applyAlignment="1">
      <alignment horizontal="center" vertical="center"/>
    </xf>
    <xf numFmtId="0" fontId="16" fillId="6" borderId="10" xfId="2" applyFont="1" applyFill="1" applyBorder="1" applyAlignment="1">
      <alignment horizontal="center" vertical="center"/>
    </xf>
    <xf numFmtId="0" fontId="16" fillId="6" borderId="38" xfId="2" applyFont="1" applyFill="1" applyBorder="1" applyAlignment="1">
      <alignment horizontal="center" vertical="center"/>
    </xf>
    <xf numFmtId="0" fontId="36" fillId="11" borderId="0" xfId="0" applyFont="1" applyFill="1" applyBorder="1" applyAlignment="1">
      <alignment horizontal="center"/>
    </xf>
    <xf numFmtId="0" fontId="28" fillId="11" borderId="0" xfId="0" applyFont="1" applyFill="1" applyBorder="1" applyAlignment="1">
      <alignment horizontal="center"/>
    </xf>
    <xf numFmtId="0" fontId="31" fillId="11" borderId="0" xfId="3" applyFont="1" applyFill="1" applyBorder="1" applyAlignment="1">
      <alignment horizontal="center"/>
    </xf>
    <xf numFmtId="0" fontId="34" fillId="11" borderId="0" xfId="0" applyFont="1" applyFill="1" applyBorder="1" applyAlignment="1">
      <alignment horizontal="center"/>
    </xf>
    <xf numFmtId="0" fontId="15" fillId="7" borderId="30" xfId="1" applyFont="1" applyFill="1" applyBorder="1" applyAlignment="1">
      <alignment horizontal="center" vertical="center" wrapText="1"/>
    </xf>
    <xf numFmtId="0" fontId="21" fillId="5" borderId="3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8" fillId="3" borderId="38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>
      <alignment horizontal="center" vertical="center" wrapText="1"/>
    </xf>
    <xf numFmtId="164" fontId="5" fillId="5" borderId="33" xfId="1" applyNumberFormat="1" applyFont="1" applyFill="1" applyBorder="1" applyAlignment="1">
      <alignment horizontal="center" vertical="center"/>
    </xf>
    <xf numFmtId="164" fontId="5" fillId="5" borderId="34" xfId="1" applyNumberFormat="1" applyFont="1" applyFill="1" applyBorder="1" applyAlignment="1">
      <alignment horizontal="center" vertical="center"/>
    </xf>
    <xf numFmtId="0" fontId="35" fillId="11" borderId="0" xfId="0" applyFont="1" applyFill="1" applyBorder="1" applyAlignment="1">
      <alignment horizontal="center"/>
    </xf>
    <xf numFmtId="0" fontId="21" fillId="10" borderId="32" xfId="1" applyFont="1" applyFill="1" applyBorder="1" applyAlignment="1">
      <alignment horizontal="center" vertical="center" wrapText="1"/>
    </xf>
    <xf numFmtId="0" fontId="21" fillId="10" borderId="33" xfId="1" applyFont="1" applyFill="1" applyBorder="1" applyAlignment="1">
      <alignment horizontal="center" vertical="center" wrapText="1"/>
    </xf>
    <xf numFmtId="0" fontId="21" fillId="10" borderId="34" xfId="1" applyFont="1" applyFill="1" applyBorder="1" applyAlignment="1">
      <alignment horizontal="center" vertical="center" wrapText="1"/>
    </xf>
    <xf numFmtId="0" fontId="21" fillId="10" borderId="19" xfId="1" applyFont="1" applyFill="1" applyBorder="1" applyAlignment="1">
      <alignment horizontal="center" vertical="center" wrapText="1"/>
    </xf>
    <xf numFmtId="0" fontId="21" fillId="10" borderId="7" xfId="1" applyFont="1" applyFill="1" applyBorder="1" applyAlignment="1">
      <alignment horizontal="center" vertical="center" wrapText="1"/>
    </xf>
    <xf numFmtId="0" fontId="21" fillId="10" borderId="20" xfId="1" applyFont="1" applyFill="1" applyBorder="1" applyAlignment="1">
      <alignment horizontal="center" vertical="center" wrapText="1"/>
    </xf>
    <xf numFmtId="0" fontId="13" fillId="12" borderId="29" xfId="1" applyFont="1" applyFill="1" applyBorder="1" applyAlignment="1">
      <alignment horizontal="center" vertical="center" wrapText="1"/>
    </xf>
    <xf numFmtId="0" fontId="13" fillId="12" borderId="30" xfId="1" applyFont="1" applyFill="1" applyBorder="1" applyAlignment="1">
      <alignment horizontal="center" vertical="center"/>
    </xf>
    <xf numFmtId="0" fontId="13" fillId="12" borderId="31" xfId="1" applyFont="1" applyFill="1" applyBorder="1" applyAlignment="1">
      <alignment horizontal="center" vertical="center"/>
    </xf>
    <xf numFmtId="0" fontId="19" fillId="0" borderId="37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9" fillId="0" borderId="37" xfId="1" applyFont="1" applyBorder="1" applyAlignment="1">
      <alignment horizontal="center"/>
    </xf>
    <xf numFmtId="0" fontId="9" fillId="0" borderId="22" xfId="1" applyFont="1" applyBorder="1" applyAlignment="1">
      <alignment horizontal="center"/>
    </xf>
    <xf numFmtId="0" fontId="8" fillId="3" borderId="15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19" fillId="0" borderId="35" xfId="1" applyFont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42" xfId="1" applyFont="1" applyFill="1" applyBorder="1" applyAlignment="1">
      <alignment horizontal="center" vertical="center" wrapText="1"/>
    </xf>
    <xf numFmtId="0" fontId="8" fillId="3" borderId="43" xfId="1" applyFont="1" applyFill="1" applyBorder="1" applyAlignment="1">
      <alignment horizontal="center" vertical="center" wrapText="1"/>
    </xf>
    <xf numFmtId="0" fontId="19" fillId="0" borderId="17" xfId="1" applyFont="1" applyBorder="1" applyAlignment="1">
      <alignment horizontal="center"/>
    </xf>
    <xf numFmtId="0" fontId="19" fillId="0" borderId="0" xfId="1" applyFont="1" applyBorder="1" applyAlignment="1">
      <alignment horizontal="center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/>
    </xf>
    <xf numFmtId="0" fontId="16" fillId="6" borderId="37" xfId="2" applyFont="1" applyFill="1" applyBorder="1" applyAlignment="1">
      <alignment horizontal="center" vertical="center"/>
    </xf>
    <xf numFmtId="0" fontId="16" fillId="6" borderId="8" xfId="2" applyFont="1" applyFill="1" applyBorder="1" applyAlignment="1">
      <alignment horizontal="center" vertical="center"/>
    </xf>
    <xf numFmtId="0" fontId="16" fillId="6" borderId="39" xfId="2" applyFont="1" applyFill="1" applyBorder="1" applyAlignment="1">
      <alignment horizontal="center" vertical="center"/>
    </xf>
    <xf numFmtId="0" fontId="16" fillId="9" borderId="44" xfId="2" applyFont="1" applyFill="1" applyBorder="1" applyAlignment="1">
      <alignment horizontal="center" vertical="center"/>
    </xf>
    <xf numFmtId="0" fontId="16" fillId="9" borderId="10" xfId="2" applyFont="1" applyFill="1" applyBorder="1" applyAlignment="1">
      <alignment horizontal="center" vertical="center"/>
    </xf>
    <xf numFmtId="0" fontId="16" fillId="9" borderId="38" xfId="2" applyFont="1" applyFill="1" applyBorder="1" applyAlignment="1">
      <alignment horizontal="center" vertical="center"/>
    </xf>
    <xf numFmtId="0" fontId="16" fillId="9" borderId="28" xfId="2" applyFont="1" applyFill="1" applyBorder="1" applyAlignment="1">
      <alignment horizontal="center" vertical="center" wrapText="1"/>
    </xf>
    <xf numFmtId="0" fontId="16" fillId="9" borderId="24" xfId="2" applyFont="1" applyFill="1" applyBorder="1" applyAlignment="1">
      <alignment horizontal="center" vertical="center" wrapText="1"/>
    </xf>
    <xf numFmtId="0" fontId="16" fillId="9" borderId="25" xfId="2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165" fontId="8" fillId="3" borderId="27" xfId="1" applyNumberFormat="1" applyFont="1" applyFill="1" applyBorder="1" applyAlignment="1">
      <alignment horizontal="center" vertical="center" wrapText="1"/>
    </xf>
    <xf numFmtId="165" fontId="8" fillId="3" borderId="26" xfId="1" applyNumberFormat="1" applyFont="1" applyFill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7" fillId="4" borderId="15" xfId="1" applyFont="1" applyFill="1" applyBorder="1" applyAlignment="1">
      <alignment horizontal="center" vertical="center" wrapText="1"/>
    </xf>
    <xf numFmtId="0" fontId="17" fillId="4" borderId="6" xfId="1" applyFont="1" applyFill="1" applyBorder="1" applyAlignment="1">
      <alignment horizontal="center" vertical="center" wrapText="1"/>
    </xf>
    <xf numFmtId="0" fontId="17" fillId="4" borderId="16" xfId="1" applyFont="1" applyFill="1" applyBorder="1" applyAlignment="1">
      <alignment horizontal="center" vertical="center" wrapText="1"/>
    </xf>
    <xf numFmtId="0" fontId="17" fillId="4" borderId="17" xfId="1" applyFont="1" applyFill="1" applyBorder="1" applyAlignment="1">
      <alignment horizontal="center" vertical="center" wrapText="1"/>
    </xf>
    <xf numFmtId="0" fontId="17" fillId="4" borderId="0" xfId="1" applyFont="1" applyFill="1" applyAlignment="1">
      <alignment horizontal="center" vertical="center" wrapText="1"/>
    </xf>
    <xf numFmtId="0" fontId="17" fillId="4" borderId="18" xfId="1" applyFont="1" applyFill="1" applyBorder="1" applyAlignment="1">
      <alignment horizontal="center" vertical="center" wrapText="1"/>
    </xf>
    <xf numFmtId="14" fontId="42" fillId="0" borderId="2" xfId="1" applyNumberFormat="1" applyFont="1" applyBorder="1" applyAlignment="1">
      <alignment horizontal="center" vertical="center"/>
    </xf>
    <xf numFmtId="1" fontId="43" fillId="9" borderId="2" xfId="1" applyNumberFormat="1" applyFont="1" applyFill="1" applyBorder="1" applyAlignment="1">
      <alignment horizontal="center" vertical="center"/>
    </xf>
    <xf numFmtId="164" fontId="43" fillId="9" borderId="2" xfId="1" applyNumberFormat="1" applyFont="1" applyFill="1" applyBorder="1" applyAlignment="1">
      <alignment horizontal="center" vertical="center"/>
    </xf>
  </cellXfs>
  <cellStyles count="5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  <cellStyle name="Normal 3" xfId="4" xr:uid="{A8AFA1CA-8886-4964-B0B8-116D023427A9}"/>
  </cellStyles>
  <dxfs count="5">
    <dxf>
      <font>
        <color rgb="FFFF0000"/>
      </font>
    </dxf>
    <dxf>
      <font>
        <color rgb="FFFF0000"/>
      </font>
    </dxf>
    <dxf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F66"/>
      <color rgb="FFFFF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 editAs="oneCell">
    <xdr:from>
      <xdr:col>10</xdr:col>
      <xdr:colOff>9525</xdr:colOff>
      <xdr:row>1</xdr:row>
      <xdr:rowOff>57150</xdr:rowOff>
    </xdr:from>
    <xdr:to>
      <xdr:col>12</xdr:col>
      <xdr:colOff>544300</xdr:colOff>
      <xdr:row>4</xdr:row>
      <xdr:rowOff>75475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3650" cy="726350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99</xdr:row>
      <xdr:rowOff>38099</xdr:rowOff>
    </xdr:from>
    <xdr:to>
      <xdr:col>12</xdr:col>
      <xdr:colOff>1181100</xdr:colOff>
      <xdr:row>99</xdr:row>
      <xdr:rowOff>4857750</xdr:rowOff>
    </xdr:to>
    <xdr:sp macro="" textlink="">
      <xdr:nvSpPr>
        <xdr:cNvPr id="6" name="785 CuadroTexto">
          <a:extLst>
            <a:ext uri="{FF2B5EF4-FFF2-40B4-BE49-F238E27FC236}">
              <a16:creationId xmlns:a16="http://schemas.microsoft.com/office/drawing/2014/main" id="{B7CEC335-5D4C-4337-B76C-AAD0CE939F03}"/>
            </a:ext>
          </a:extLst>
        </xdr:cNvPr>
        <xdr:cNvSpPr txBox="1"/>
      </xdr:nvSpPr>
      <xdr:spPr>
        <a:xfrm>
          <a:off x="5800725" y="33499424"/>
          <a:ext cx="8572500" cy="4819651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PROTECCIÓN AUTOMATICA</a:t>
          </a:r>
        </a:p>
        <a:p>
          <a:pPr algn="ctr"/>
          <a:r>
            <a:rPr lang="es-CL" sz="1400" b="1" u="sng">
              <a:solidFill>
                <a:sysClr val="windowText" lastClr="000000"/>
              </a:solidFill>
            </a:rPr>
            <a:t>(Velocidad máxima 65 KM/H (todo tren) establecida en la ingeniería de diseño de cruces </a:t>
          </a:r>
          <a:r>
            <a:rPr lang="es-CL" sz="1400" b="1" u="sng" baseline="0">
              <a:solidFill>
                <a:sysClr val="windowText" lastClr="000000"/>
              </a:solidFill>
            </a:rPr>
            <a:t>28/01/25)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95249</xdr:colOff>
      <xdr:row>99</xdr:row>
      <xdr:rowOff>38101</xdr:rowOff>
    </xdr:from>
    <xdr:to>
      <xdr:col>6</xdr:col>
      <xdr:colOff>552450</xdr:colOff>
      <xdr:row>99</xdr:row>
      <xdr:rowOff>2676525</xdr:rowOff>
    </xdr:to>
    <xdr:sp macro="" textlink="">
      <xdr:nvSpPr>
        <xdr:cNvPr id="8" name="785 CuadroTexto">
          <a:extLst>
            <a:ext uri="{FF2B5EF4-FFF2-40B4-BE49-F238E27FC236}">
              <a16:creationId xmlns:a16="http://schemas.microsoft.com/office/drawing/2014/main" id="{14683CAC-35D8-41E8-80C1-B9DCB5C7990E}"/>
            </a:ext>
          </a:extLst>
        </xdr:cNvPr>
        <xdr:cNvSpPr txBox="1"/>
      </xdr:nvSpPr>
      <xdr:spPr>
        <a:xfrm>
          <a:off x="95249" y="33499426"/>
          <a:ext cx="5600701" cy="263842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SLA, GUARDA CRUZADA</a:t>
          </a:r>
        </a:p>
        <a:p>
          <a:pPr algn="ctr"/>
          <a:r>
            <a:rPr lang="es-CL" sz="1400" b="1" u="sng"/>
            <a:t>Y BARRERAS MANUALES </a:t>
          </a:r>
        </a:p>
        <a:p>
          <a:pPr algn="ctr"/>
          <a:r>
            <a:rPr lang="es-CL" sz="11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(SOLO TREN PASAJEROS)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algn="l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NOMBRE		SECTOR	UBICACIÓN		VELOCIDAD</a:t>
          </a:r>
          <a:r>
            <a:rPr lang="es-CL" sz="1200" u="sng"/>
            <a:t> </a:t>
          </a:r>
          <a:endParaRPr lang="es-CL" sz="1200" u="none"/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01.- HUALQUI		HQ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TH	PK. 46 P. 15/16	30 KM/HR</a:t>
          </a:r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02.- HUALQUI ESTACION	HQ - TH	PK. 46,500		40 KM/HR	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03.- OMER HUET	HQ - TH	PK. 52 P. 23/24	</a:t>
          </a:r>
          <a:r>
            <a:rPr lang="es-CL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04.- LA UNIÓN		HQ - TH	PK. 84 P. 4/5		50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11.- GRAU		CC - CW	PK. 15 P. 17/19	80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12.- VIVERO LA POSADA	CC - CW	PK. 16 P. 15/17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15.- PARQUE IND. 3	CC - CW	PK. 21 P. 5/7	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57148</xdr:colOff>
      <xdr:row>99</xdr:row>
      <xdr:rowOff>551726</xdr:rowOff>
    </xdr:from>
    <xdr:to>
      <xdr:col>11</xdr:col>
      <xdr:colOff>260349</xdr:colOff>
      <xdr:row>99</xdr:row>
      <xdr:rowOff>4826054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DA21BC9-58C0-4A0A-A2B0-2B3B21DC3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7523" y="34013051"/>
          <a:ext cx="6000751" cy="4277503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18" name="784 CuadroTexto">
          <a:extLst>
            <a:ext uri="{FF2B5EF4-FFF2-40B4-BE49-F238E27FC236}">
              <a16:creationId xmlns:a16="http://schemas.microsoft.com/office/drawing/2014/main" id="{9CA64442-9C28-4402-8E5D-1F5E05D64FCD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6</xdr:col>
      <xdr:colOff>1333500</xdr:colOff>
      <xdr:row>15</xdr:row>
      <xdr:rowOff>2102803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B8AF550A-D9A1-4097-9B4E-2D90D88A2C5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48000"/>
          <a:ext cx="6191250" cy="2105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895350</xdr:colOff>
      <xdr:row>14</xdr:row>
      <xdr:rowOff>228599</xdr:rowOff>
    </xdr:from>
    <xdr:to>
      <xdr:col>12</xdr:col>
      <xdr:colOff>704850</xdr:colOff>
      <xdr:row>15</xdr:row>
      <xdr:rowOff>1421764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2E078825-BA22-4AB4-83DF-32C79A45A4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3047999"/>
          <a:ext cx="619125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t.con@efesur.c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ontrolador.sser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28"/>
  <sheetViews>
    <sheetView showGridLines="0" tabSelected="1" zoomScaleNormal="100" workbookViewId="0">
      <selection activeCell="H10" sqref="H10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43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4"/>
      <c r="B1" s="25"/>
      <c r="C1" s="25"/>
      <c r="D1" s="25"/>
      <c r="E1" s="113" t="s">
        <v>65</v>
      </c>
      <c r="F1" s="113"/>
      <c r="G1" s="113"/>
      <c r="H1" s="113"/>
      <c r="I1" s="25"/>
      <c r="J1" s="117">
        <v>46282</v>
      </c>
      <c r="K1" s="117"/>
      <c r="L1" s="117"/>
      <c r="M1" s="118"/>
    </row>
    <row r="2" spans="1:13" ht="13.5" customHeight="1" thickTop="1" x14ac:dyDescent="0.25">
      <c r="A2" s="139"/>
      <c r="B2" s="140"/>
      <c r="C2" s="14"/>
      <c r="D2" s="12"/>
      <c r="E2" s="36"/>
      <c r="F2" s="37"/>
      <c r="G2" s="13"/>
      <c r="H2" s="72"/>
      <c r="I2" s="141"/>
      <c r="J2" s="141"/>
      <c r="K2" s="141"/>
      <c r="L2" s="141"/>
      <c r="M2" s="142"/>
    </row>
    <row r="3" spans="1:13" ht="18" customHeight="1" x14ac:dyDescent="0.25">
      <c r="A3" s="129"/>
      <c r="B3" s="130"/>
      <c r="C3" s="73"/>
      <c r="D3" s="74"/>
      <c r="E3" s="114" t="s">
        <v>22</v>
      </c>
      <c r="F3" s="114"/>
      <c r="G3" s="35" t="s">
        <v>21</v>
      </c>
      <c r="H3" s="35" t="s">
        <v>20</v>
      </c>
      <c r="I3" s="65"/>
      <c r="J3" s="75"/>
      <c r="K3" s="75"/>
      <c r="L3" s="75"/>
      <c r="M3" s="26"/>
    </row>
    <row r="4" spans="1:13" ht="24" x14ac:dyDescent="0.35">
      <c r="A4" s="131"/>
      <c r="B4" s="132"/>
      <c r="C4" s="76"/>
      <c r="D4" s="77"/>
      <c r="E4" s="181">
        <f ca="1">TODAY()</f>
        <v>46281</v>
      </c>
      <c r="F4" s="181"/>
      <c r="G4" s="182">
        <v>260</v>
      </c>
      <c r="H4" s="183" t="s">
        <v>246</v>
      </c>
      <c r="I4" s="78"/>
      <c r="J4" s="78"/>
      <c r="K4" s="78"/>
      <c r="L4" s="78"/>
      <c r="M4" s="27"/>
    </row>
    <row r="5" spans="1:13" ht="7.5" customHeight="1" x14ac:dyDescent="0.25">
      <c r="A5" s="153"/>
      <c r="B5" s="154"/>
      <c r="C5" s="79"/>
      <c r="D5" s="80"/>
      <c r="E5" s="81"/>
      <c r="F5" s="81"/>
      <c r="G5" s="80"/>
      <c r="H5" s="80"/>
      <c r="I5" s="80"/>
      <c r="J5" s="80"/>
      <c r="K5" s="80"/>
      <c r="L5" s="80"/>
      <c r="M5" s="28"/>
    </row>
    <row r="6" spans="1:13" ht="18.75" customHeight="1" x14ac:dyDescent="0.25">
      <c r="A6" s="71"/>
      <c r="B6" s="82"/>
      <c r="C6" s="108" t="s">
        <v>12</v>
      </c>
      <c r="D6" s="108"/>
      <c r="E6" s="82"/>
      <c r="F6" s="108" t="s">
        <v>13</v>
      </c>
      <c r="G6" s="108"/>
      <c r="H6" s="83" t="s">
        <v>35</v>
      </c>
      <c r="I6" s="108" t="s">
        <v>32</v>
      </c>
      <c r="J6" s="108"/>
      <c r="K6" s="108"/>
      <c r="L6" s="108"/>
      <c r="M6" s="52"/>
    </row>
    <row r="7" spans="1:13" s="51" customFormat="1" ht="12.75" customHeight="1" x14ac:dyDescent="0.25">
      <c r="A7" s="50"/>
      <c r="B7" s="84"/>
      <c r="C7" s="111" t="s">
        <v>14</v>
      </c>
      <c r="D7" s="111"/>
      <c r="E7" s="84"/>
      <c r="F7" s="111" t="s">
        <v>34</v>
      </c>
      <c r="G7" s="111"/>
      <c r="H7" s="85" t="s">
        <v>41</v>
      </c>
      <c r="I7" s="109" t="s">
        <v>42</v>
      </c>
      <c r="J7" s="109"/>
      <c r="K7" s="109"/>
      <c r="L7" s="109"/>
      <c r="M7" s="53"/>
    </row>
    <row r="8" spans="1:13" s="51" customFormat="1" ht="12.75" customHeight="1" x14ac:dyDescent="0.25">
      <c r="A8" s="50"/>
      <c r="B8" s="86"/>
      <c r="C8" s="109" t="s">
        <v>43</v>
      </c>
      <c r="D8" s="109"/>
      <c r="E8" s="86"/>
      <c r="F8" s="109" t="s">
        <v>44</v>
      </c>
      <c r="G8" s="109"/>
      <c r="H8" s="87" t="s">
        <v>36</v>
      </c>
      <c r="I8" s="110" t="s">
        <v>33</v>
      </c>
      <c r="J8" s="110"/>
      <c r="K8" s="110"/>
      <c r="L8" s="110"/>
      <c r="M8" s="53"/>
    </row>
    <row r="9" spans="1:13" ht="21" customHeight="1" x14ac:dyDescent="0.25">
      <c r="A9" s="71"/>
      <c r="B9" s="88"/>
      <c r="C9" s="108" t="s">
        <v>29</v>
      </c>
      <c r="D9" s="108"/>
      <c r="E9" s="88"/>
      <c r="F9" s="108" t="s">
        <v>37</v>
      </c>
      <c r="G9" s="108"/>
      <c r="H9" s="83" t="s">
        <v>39</v>
      </c>
      <c r="I9" s="82"/>
      <c r="J9" s="89"/>
      <c r="K9" s="89"/>
      <c r="L9" s="89"/>
      <c r="M9" s="52"/>
    </row>
    <row r="10" spans="1:13" s="51" customFormat="1" ht="12.75" customHeight="1" x14ac:dyDescent="0.25">
      <c r="A10" s="50"/>
      <c r="B10" s="90"/>
      <c r="C10" s="111" t="s">
        <v>30</v>
      </c>
      <c r="D10" s="111"/>
      <c r="E10" s="90"/>
      <c r="F10" s="111" t="s">
        <v>38</v>
      </c>
      <c r="G10" s="111"/>
      <c r="H10" s="91" t="s">
        <v>48</v>
      </c>
      <c r="I10" s="84"/>
      <c r="J10" s="92"/>
      <c r="K10" s="92"/>
      <c r="L10" s="92"/>
      <c r="M10" s="53"/>
    </row>
    <row r="11" spans="1:13" s="51" customFormat="1" ht="12.75" customHeight="1" x14ac:dyDescent="0.25">
      <c r="A11" s="50"/>
      <c r="B11" s="90"/>
      <c r="C11" s="109" t="s">
        <v>45</v>
      </c>
      <c r="D11" s="109"/>
      <c r="E11" s="90"/>
      <c r="F11" s="109" t="s">
        <v>46</v>
      </c>
      <c r="G11" s="109"/>
      <c r="H11" s="85" t="s">
        <v>47</v>
      </c>
      <c r="I11" s="86"/>
      <c r="J11" s="92"/>
      <c r="K11" s="92"/>
      <c r="L11" s="92"/>
      <c r="M11" s="53"/>
    </row>
    <row r="12" spans="1:13" s="51" customFormat="1" ht="12.75" customHeight="1" x14ac:dyDescent="0.25">
      <c r="A12" s="50"/>
      <c r="B12" s="90"/>
      <c r="C12" s="110" t="s">
        <v>31</v>
      </c>
      <c r="D12" s="110"/>
      <c r="E12" s="90"/>
      <c r="F12" s="110" t="s">
        <v>40</v>
      </c>
      <c r="G12" s="119"/>
      <c r="H12" s="87"/>
      <c r="I12" s="93"/>
      <c r="J12" s="92"/>
      <c r="K12" s="92"/>
      <c r="L12" s="92"/>
      <c r="M12" s="53"/>
    </row>
    <row r="13" spans="1:13" ht="9" customHeight="1" thickBot="1" x14ac:dyDescent="0.3">
      <c r="A13" s="94"/>
      <c r="B13" s="48"/>
      <c r="C13" s="15"/>
      <c r="D13" s="95"/>
      <c r="E13" s="96"/>
      <c r="F13" s="96"/>
      <c r="G13" s="95"/>
      <c r="H13" s="95"/>
      <c r="I13" s="95"/>
      <c r="J13" s="95"/>
      <c r="K13" s="95"/>
      <c r="L13" s="95"/>
      <c r="M13" s="97"/>
    </row>
    <row r="14" spans="1:13" ht="22.5" customHeight="1" thickBot="1" x14ac:dyDescent="0.3">
      <c r="A14" s="45"/>
      <c r="B14" s="46"/>
      <c r="C14" s="46"/>
      <c r="D14" s="112" t="s">
        <v>49</v>
      </c>
      <c r="E14" s="112"/>
      <c r="F14" s="112"/>
      <c r="G14" s="112"/>
      <c r="H14" s="112"/>
      <c r="I14" s="112"/>
      <c r="J14" s="112"/>
      <c r="K14" s="46"/>
      <c r="L14" s="46"/>
      <c r="M14" s="47"/>
    </row>
    <row r="15" spans="1:13" ht="18" customHeight="1" x14ac:dyDescent="0.25">
      <c r="A15" s="49"/>
      <c r="B15" s="55" t="s">
        <v>53</v>
      </c>
      <c r="C15" s="54"/>
      <c r="D15" s="55"/>
      <c r="E15" s="38"/>
      <c r="F15" s="38"/>
      <c r="G15" s="3"/>
      <c r="H15" s="98" t="s">
        <v>61</v>
      </c>
      <c r="I15" s="3"/>
      <c r="J15" s="3"/>
      <c r="K15" s="3"/>
      <c r="L15" s="3"/>
      <c r="M15" s="52"/>
    </row>
    <row r="16" spans="1:13" ht="189" customHeight="1" x14ac:dyDescent="0.25">
      <c r="A16" s="49"/>
      <c r="B16" s="57" t="s">
        <v>50</v>
      </c>
      <c r="C16" s="58"/>
      <c r="D16" s="55"/>
      <c r="E16" s="38"/>
      <c r="F16" s="38"/>
      <c r="G16" s="3"/>
      <c r="H16" s="3"/>
      <c r="I16" s="3"/>
      <c r="J16" s="3"/>
      <c r="K16" s="3"/>
      <c r="L16" s="3"/>
      <c r="M16" s="52"/>
    </row>
    <row r="17" spans="1:13" ht="27" customHeight="1" x14ac:dyDescent="0.3">
      <c r="A17" s="49"/>
      <c r="B17" s="55" t="s">
        <v>54</v>
      </c>
      <c r="C17" s="58"/>
      <c r="D17" s="55"/>
      <c r="E17" s="38"/>
      <c r="F17" s="38"/>
      <c r="G17" s="3"/>
      <c r="H17" s="3"/>
      <c r="I17" s="3"/>
      <c r="J17" s="3"/>
      <c r="K17" s="3"/>
      <c r="L17" s="3"/>
      <c r="M17" s="52"/>
    </row>
    <row r="18" spans="1:13" ht="15.75" x14ac:dyDescent="0.25">
      <c r="A18" s="49"/>
      <c r="B18" s="60" t="s">
        <v>52</v>
      </c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1"/>
    </row>
    <row r="19" spans="1:13" ht="18.75" x14ac:dyDescent="0.3">
      <c r="A19" s="49"/>
      <c r="B19" s="57" t="s">
        <v>51</v>
      </c>
      <c r="C19" s="54"/>
      <c r="D19" s="3"/>
      <c r="E19" s="38"/>
      <c r="F19" s="38"/>
      <c r="G19" s="3"/>
      <c r="H19" s="3"/>
      <c r="I19" s="3"/>
      <c r="J19" s="3"/>
      <c r="K19" s="3"/>
      <c r="L19" s="3"/>
      <c r="M19" s="52"/>
    </row>
    <row r="20" spans="1:13" ht="27" customHeight="1" x14ac:dyDescent="0.3">
      <c r="A20" s="49"/>
      <c r="B20" s="59" t="s">
        <v>55</v>
      </c>
      <c r="C20" s="54"/>
      <c r="D20" s="3"/>
      <c r="E20" s="38"/>
      <c r="F20" s="38"/>
      <c r="G20" s="3"/>
      <c r="H20" s="3"/>
      <c r="I20" s="3"/>
      <c r="J20" s="3"/>
      <c r="K20" s="3"/>
      <c r="L20" s="3"/>
      <c r="M20" s="52"/>
    </row>
    <row r="21" spans="1:13" ht="16.5" thickBot="1" x14ac:dyDescent="0.3">
      <c r="A21" s="49"/>
      <c r="B21" s="56"/>
      <c r="C21" s="54"/>
      <c r="D21" s="3"/>
      <c r="E21" s="38"/>
      <c r="F21" s="38"/>
      <c r="G21" s="3"/>
      <c r="H21" s="3"/>
      <c r="I21" s="3"/>
      <c r="J21" s="3"/>
      <c r="K21" s="3"/>
      <c r="L21" s="3"/>
      <c r="M21" s="28"/>
    </row>
    <row r="22" spans="1:13" ht="30" customHeight="1" thickBot="1" x14ac:dyDescent="0.3">
      <c r="A22" s="120" t="s">
        <v>57</v>
      </c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2"/>
    </row>
    <row r="23" spans="1:13" ht="30" customHeight="1" thickTop="1" thickBot="1" x14ac:dyDescent="0.3">
      <c r="A23" s="123" t="s">
        <v>58</v>
      </c>
      <c r="B23" s="124"/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5"/>
    </row>
    <row r="24" spans="1:13" ht="67.5" customHeight="1" thickBot="1" x14ac:dyDescent="0.3">
      <c r="A24" s="126" t="s">
        <v>64</v>
      </c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8"/>
    </row>
    <row r="25" spans="1:13" ht="4.5" customHeight="1" thickBot="1" x14ac:dyDescent="0.3">
      <c r="A25" s="22"/>
      <c r="B25" s="16"/>
      <c r="C25" s="17"/>
      <c r="D25" s="17"/>
      <c r="E25" s="41"/>
      <c r="F25" s="41"/>
      <c r="G25" s="17"/>
      <c r="H25" s="17"/>
      <c r="I25" s="18"/>
      <c r="J25" s="18"/>
      <c r="K25" s="19"/>
      <c r="L25" s="19"/>
      <c r="M25" s="20"/>
    </row>
    <row r="26" spans="1:13" ht="22.5" customHeight="1" thickBot="1" x14ac:dyDescent="0.3">
      <c r="A26" s="45"/>
      <c r="B26" s="46"/>
      <c r="C26" s="46"/>
      <c r="D26" s="112" t="s">
        <v>26</v>
      </c>
      <c r="E26" s="112"/>
      <c r="F26" s="112"/>
      <c r="G26" s="112"/>
      <c r="H26" s="112"/>
      <c r="I26" s="112"/>
      <c r="J26" s="112"/>
      <c r="K26" s="112"/>
      <c r="L26" s="46"/>
      <c r="M26" s="47"/>
    </row>
    <row r="27" spans="1:13" ht="18" customHeight="1" x14ac:dyDescent="0.25">
      <c r="A27" s="133" t="s">
        <v>5</v>
      </c>
      <c r="B27" s="143" t="s">
        <v>0</v>
      </c>
      <c r="C27" s="144"/>
      <c r="D27" s="135" t="s">
        <v>10</v>
      </c>
      <c r="E27" s="137" t="s">
        <v>6</v>
      </c>
      <c r="F27" s="138"/>
      <c r="G27" s="135" t="s">
        <v>18</v>
      </c>
      <c r="H27" s="135" t="s">
        <v>7</v>
      </c>
      <c r="I27" s="167" t="s">
        <v>3</v>
      </c>
      <c r="J27" s="168"/>
      <c r="K27" s="169" t="s">
        <v>4</v>
      </c>
      <c r="L27" s="168"/>
      <c r="M27" s="115" t="s">
        <v>15</v>
      </c>
    </row>
    <row r="28" spans="1:13" ht="18" customHeight="1" x14ac:dyDescent="0.25">
      <c r="A28" s="134"/>
      <c r="B28" s="4" t="s">
        <v>1</v>
      </c>
      <c r="C28" s="4" t="s">
        <v>2</v>
      </c>
      <c r="D28" s="136"/>
      <c r="E28" s="39" t="s">
        <v>1</v>
      </c>
      <c r="F28" s="39" t="s">
        <v>2</v>
      </c>
      <c r="G28" s="136"/>
      <c r="H28" s="136"/>
      <c r="I28" s="10" t="s">
        <v>8</v>
      </c>
      <c r="J28" s="11" t="s">
        <v>17</v>
      </c>
      <c r="K28" s="11" t="s">
        <v>8</v>
      </c>
      <c r="L28" s="11" t="s">
        <v>17</v>
      </c>
      <c r="M28" s="116"/>
    </row>
    <row r="29" spans="1:13" ht="45" x14ac:dyDescent="0.25">
      <c r="A29" s="29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9" s="7" t="s">
        <v>66</v>
      </c>
      <c r="C29" s="6" t="s">
        <v>67</v>
      </c>
      <c r="D29" s="6" t="s">
        <v>68</v>
      </c>
      <c r="E29" s="40" t="s">
        <v>69</v>
      </c>
      <c r="F29" s="40" t="s">
        <v>70</v>
      </c>
      <c r="G29" s="6" t="s">
        <v>71</v>
      </c>
      <c r="H29" s="6" t="s">
        <v>72</v>
      </c>
      <c r="I29" s="8">
        <v>0.41666666666666669</v>
      </c>
      <c r="J29" s="8">
        <v>0.54166666666666663</v>
      </c>
      <c r="K29" s="9">
        <v>46282</v>
      </c>
      <c r="L29" s="9">
        <v>46282</v>
      </c>
      <c r="M29" s="30" t="s">
        <v>73</v>
      </c>
    </row>
    <row r="30" spans="1:13" ht="30" x14ac:dyDescent="0.25">
      <c r="A30" s="29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30" s="7" t="s">
        <v>66</v>
      </c>
      <c r="C30" s="6" t="s">
        <v>66</v>
      </c>
      <c r="D30" s="6" t="s">
        <v>74</v>
      </c>
      <c r="E30" s="40" t="s">
        <v>75</v>
      </c>
      <c r="F30" s="40" t="s">
        <v>76</v>
      </c>
      <c r="G30" s="6" t="s">
        <v>77</v>
      </c>
      <c r="H30" s="6" t="s">
        <v>78</v>
      </c>
      <c r="I30" s="8">
        <v>0</v>
      </c>
      <c r="J30" s="8">
        <v>0.99930555555555556</v>
      </c>
      <c r="K30" s="9">
        <v>46027</v>
      </c>
      <c r="L30" s="9" t="s">
        <v>79</v>
      </c>
      <c r="M30" s="30" t="s">
        <v>80</v>
      </c>
    </row>
    <row r="31" spans="1:13" ht="30" x14ac:dyDescent="0.25">
      <c r="A31" s="29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31" s="7" t="s">
        <v>66</v>
      </c>
      <c r="C31" s="6" t="s">
        <v>67</v>
      </c>
      <c r="D31" s="6" t="s">
        <v>81</v>
      </c>
      <c r="E31" s="40" t="s">
        <v>82</v>
      </c>
      <c r="F31" s="40" t="s">
        <v>83</v>
      </c>
      <c r="G31" s="6" t="s">
        <v>84</v>
      </c>
      <c r="H31" s="6" t="s">
        <v>85</v>
      </c>
      <c r="I31" s="8">
        <v>0</v>
      </c>
      <c r="J31" s="8">
        <v>0.99930555555555556</v>
      </c>
      <c r="K31" s="9">
        <v>46274</v>
      </c>
      <c r="L31" s="9" t="s">
        <v>79</v>
      </c>
      <c r="M31" s="30" t="s">
        <v>86</v>
      </c>
    </row>
    <row r="32" spans="1:13" ht="30" x14ac:dyDescent="0.25">
      <c r="A32" s="29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32" s="7" t="s">
        <v>66</v>
      </c>
      <c r="C32" s="6" t="s">
        <v>67</v>
      </c>
      <c r="D32" s="6" t="s">
        <v>74</v>
      </c>
      <c r="E32" s="40" t="s">
        <v>87</v>
      </c>
      <c r="F32" s="40" t="s">
        <v>88</v>
      </c>
      <c r="G32" s="6" t="s">
        <v>89</v>
      </c>
      <c r="H32" s="6" t="s">
        <v>90</v>
      </c>
      <c r="I32" s="8">
        <v>0</v>
      </c>
      <c r="J32" s="8">
        <v>0.99930555555555556</v>
      </c>
      <c r="K32" s="9">
        <v>42534</v>
      </c>
      <c r="L32" s="9" t="s">
        <v>79</v>
      </c>
      <c r="M32" s="30" t="s">
        <v>80</v>
      </c>
    </row>
    <row r="33" spans="1:13" ht="45" x14ac:dyDescent="0.25">
      <c r="A33" s="29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33" s="7" t="s">
        <v>66</v>
      </c>
      <c r="C33" s="6" t="s">
        <v>67</v>
      </c>
      <c r="D33" s="6" t="s">
        <v>68</v>
      </c>
      <c r="E33" s="40" t="s">
        <v>70</v>
      </c>
      <c r="F33" s="40" t="s">
        <v>91</v>
      </c>
      <c r="G33" s="6" t="s">
        <v>71</v>
      </c>
      <c r="H33" s="6" t="s">
        <v>72</v>
      </c>
      <c r="I33" s="8">
        <v>0.58333333333333337</v>
      </c>
      <c r="J33" s="8">
        <v>0.70833333333333337</v>
      </c>
      <c r="K33" s="9">
        <v>46282</v>
      </c>
      <c r="L33" s="9">
        <v>46282</v>
      </c>
      <c r="M33" s="30" t="s">
        <v>73</v>
      </c>
    </row>
    <row r="34" spans="1:13" ht="30" x14ac:dyDescent="0.25">
      <c r="A34" s="29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34" s="7" t="s">
        <v>67</v>
      </c>
      <c r="C34" s="6" t="s">
        <v>67</v>
      </c>
      <c r="D34" s="6" t="s">
        <v>92</v>
      </c>
      <c r="E34" s="40" t="s">
        <v>93</v>
      </c>
      <c r="F34" s="40" t="s">
        <v>94</v>
      </c>
      <c r="G34" s="6" t="s">
        <v>71</v>
      </c>
      <c r="H34" s="6" t="s">
        <v>95</v>
      </c>
      <c r="I34" s="8">
        <v>0.41666666666666669</v>
      </c>
      <c r="J34" s="8">
        <v>0.75</v>
      </c>
      <c r="K34" s="9">
        <v>46282</v>
      </c>
      <c r="L34" s="9">
        <v>46282</v>
      </c>
      <c r="M34" s="30" t="s">
        <v>96</v>
      </c>
    </row>
    <row r="35" spans="1:13" x14ac:dyDescent="0.25">
      <c r="A35" s="29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5" s="7" t="s">
        <v>67</v>
      </c>
      <c r="C35" s="6" t="s">
        <v>67</v>
      </c>
      <c r="D35" s="6" t="s">
        <v>81</v>
      </c>
      <c r="E35" s="40" t="s">
        <v>97</v>
      </c>
      <c r="F35" s="40" t="s">
        <v>98</v>
      </c>
      <c r="G35" s="6" t="s">
        <v>99</v>
      </c>
      <c r="H35" s="6" t="s">
        <v>100</v>
      </c>
      <c r="I35" s="8">
        <v>0</v>
      </c>
      <c r="J35" s="8">
        <v>0.99930555555555556</v>
      </c>
      <c r="K35" s="9">
        <v>44021</v>
      </c>
      <c r="L35" s="9" t="s">
        <v>79</v>
      </c>
      <c r="M35" s="30" t="s">
        <v>101</v>
      </c>
    </row>
    <row r="36" spans="1:13" ht="45" x14ac:dyDescent="0.25">
      <c r="A36" s="29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6" s="7" t="s">
        <v>67</v>
      </c>
      <c r="C36" s="6" t="s">
        <v>67</v>
      </c>
      <c r="D36" s="6" t="s">
        <v>102</v>
      </c>
      <c r="E36" s="40" t="s">
        <v>98</v>
      </c>
      <c r="F36" s="40" t="s">
        <v>103</v>
      </c>
      <c r="G36" s="6" t="s">
        <v>104</v>
      </c>
      <c r="H36" s="6" t="s">
        <v>105</v>
      </c>
      <c r="I36" s="8">
        <v>0</v>
      </c>
      <c r="J36" s="8">
        <v>0.99930555555555556</v>
      </c>
      <c r="K36" s="9">
        <v>43941</v>
      </c>
      <c r="L36" s="9" t="s">
        <v>79</v>
      </c>
      <c r="M36" s="30" t="s">
        <v>106</v>
      </c>
    </row>
    <row r="37" spans="1:13" ht="60" x14ac:dyDescent="0.25">
      <c r="A37" s="29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7" s="7" t="s">
        <v>67</v>
      </c>
      <c r="C37" s="6" t="s">
        <v>67</v>
      </c>
      <c r="D37" s="6" t="s">
        <v>102</v>
      </c>
      <c r="E37" s="40" t="s">
        <v>98</v>
      </c>
      <c r="F37" s="40" t="s">
        <v>103</v>
      </c>
      <c r="G37" s="6" t="s">
        <v>107</v>
      </c>
      <c r="H37" s="6" t="s">
        <v>108</v>
      </c>
      <c r="I37" s="8">
        <v>0</v>
      </c>
      <c r="J37" s="8">
        <v>0.99930555555555556</v>
      </c>
      <c r="K37" s="9">
        <v>43941</v>
      </c>
      <c r="L37" s="9" t="s">
        <v>79</v>
      </c>
      <c r="M37" s="30" t="s">
        <v>106</v>
      </c>
    </row>
    <row r="38" spans="1:13" ht="30" x14ac:dyDescent="0.25">
      <c r="A38" s="29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8" s="7" t="s">
        <v>67</v>
      </c>
      <c r="C38" s="6" t="s">
        <v>109</v>
      </c>
      <c r="D38" s="6" t="s">
        <v>110</v>
      </c>
      <c r="E38" s="40" t="s">
        <v>111</v>
      </c>
      <c r="F38" s="40" t="s">
        <v>112</v>
      </c>
      <c r="G38" s="6" t="s">
        <v>71</v>
      </c>
      <c r="H38" s="6" t="s">
        <v>113</v>
      </c>
      <c r="I38" s="8">
        <v>0.95833333333333337</v>
      </c>
      <c r="J38" s="8">
        <v>0.99930555555555556</v>
      </c>
      <c r="K38" s="9">
        <v>46282</v>
      </c>
      <c r="L38" s="9">
        <v>46282</v>
      </c>
      <c r="M38" s="30" t="s">
        <v>96</v>
      </c>
    </row>
    <row r="39" spans="1:13" ht="30" x14ac:dyDescent="0.25">
      <c r="A39" s="29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9" s="7" t="s">
        <v>109</v>
      </c>
      <c r="C39" s="6" t="s">
        <v>109</v>
      </c>
      <c r="D39" s="6" t="s">
        <v>81</v>
      </c>
      <c r="E39" s="40" t="s">
        <v>114</v>
      </c>
      <c r="F39" s="40" t="s">
        <v>115</v>
      </c>
      <c r="G39" s="6" t="s">
        <v>71</v>
      </c>
      <c r="H39" s="6" t="s">
        <v>116</v>
      </c>
      <c r="I39" s="8">
        <v>0</v>
      </c>
      <c r="J39" s="8">
        <v>0.20833333333333334</v>
      </c>
      <c r="K39" s="9">
        <v>46282</v>
      </c>
      <c r="L39" s="9">
        <v>46282</v>
      </c>
      <c r="M39" s="30" t="s">
        <v>117</v>
      </c>
    </row>
    <row r="40" spans="1:13" ht="30" x14ac:dyDescent="0.25">
      <c r="A40" s="29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40" s="7" t="s">
        <v>109</v>
      </c>
      <c r="C40" s="6" t="s">
        <v>109</v>
      </c>
      <c r="D40" s="6" t="s">
        <v>81</v>
      </c>
      <c r="E40" s="40" t="s">
        <v>114</v>
      </c>
      <c r="F40" s="40" t="s">
        <v>115</v>
      </c>
      <c r="G40" s="6" t="s">
        <v>71</v>
      </c>
      <c r="H40" s="6" t="s">
        <v>116</v>
      </c>
      <c r="I40" s="8">
        <v>0.95833333333333337</v>
      </c>
      <c r="J40" s="8">
        <v>0.99930555555555556</v>
      </c>
      <c r="K40" s="9">
        <v>46282</v>
      </c>
      <c r="L40" s="9">
        <v>46282</v>
      </c>
      <c r="M40" s="30" t="s">
        <v>117</v>
      </c>
    </row>
    <row r="41" spans="1:13" x14ac:dyDescent="0.25">
      <c r="A41" s="29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41" s="7" t="s">
        <v>118</v>
      </c>
      <c r="C41" s="6" t="s">
        <v>118</v>
      </c>
      <c r="D41" s="6" t="s">
        <v>119</v>
      </c>
      <c r="E41" s="40" t="s">
        <v>120</v>
      </c>
      <c r="F41" s="40" t="s">
        <v>121</v>
      </c>
      <c r="G41" s="6" t="s">
        <v>122</v>
      </c>
      <c r="H41" s="6" t="s">
        <v>123</v>
      </c>
      <c r="I41" s="8">
        <v>0</v>
      </c>
      <c r="J41" s="8">
        <v>0.99930555555555556</v>
      </c>
      <c r="K41" s="9">
        <v>46227</v>
      </c>
      <c r="L41" s="9" t="s">
        <v>79</v>
      </c>
      <c r="M41" s="30" t="s">
        <v>124</v>
      </c>
    </row>
    <row r="42" spans="1:13" ht="30" x14ac:dyDescent="0.25">
      <c r="A42" s="29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42" s="7" t="s">
        <v>118</v>
      </c>
      <c r="C42" s="6" t="s">
        <v>118</v>
      </c>
      <c r="D42" s="6" t="s">
        <v>81</v>
      </c>
      <c r="E42" s="40" t="s">
        <v>125</v>
      </c>
      <c r="F42" s="40" t="s">
        <v>126</v>
      </c>
      <c r="G42" s="6" t="s">
        <v>127</v>
      </c>
      <c r="H42" s="6" t="s">
        <v>128</v>
      </c>
      <c r="I42" s="8">
        <v>0.33333333333333331</v>
      </c>
      <c r="J42" s="8">
        <v>0.39583333333333331</v>
      </c>
      <c r="K42" s="9">
        <v>46282</v>
      </c>
      <c r="L42" s="9">
        <v>46282</v>
      </c>
      <c r="M42" s="30" t="s">
        <v>129</v>
      </c>
    </row>
    <row r="43" spans="1:13" ht="30" x14ac:dyDescent="0.25">
      <c r="A43" s="29" cm="1">
        <f t="array" aca="1" ref="A4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43" s="7" t="s">
        <v>118</v>
      </c>
      <c r="C43" s="6" t="s">
        <v>118</v>
      </c>
      <c r="D43" s="6" t="s">
        <v>81</v>
      </c>
      <c r="E43" s="40" t="s">
        <v>125</v>
      </c>
      <c r="F43" s="40" t="s">
        <v>126</v>
      </c>
      <c r="G43" s="6" t="s">
        <v>71</v>
      </c>
      <c r="H43" s="6" t="s">
        <v>130</v>
      </c>
      <c r="I43" s="8">
        <v>0.41666666666666669</v>
      </c>
      <c r="J43" s="8">
        <v>0.72916666666666663</v>
      </c>
      <c r="K43" s="9">
        <v>46282</v>
      </c>
      <c r="L43" s="9">
        <v>46282</v>
      </c>
      <c r="M43" s="30" t="s">
        <v>129</v>
      </c>
    </row>
    <row r="44" spans="1:13" ht="30" x14ac:dyDescent="0.25">
      <c r="A44" s="29" cm="1">
        <f t="array" aca="1" ref="A4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44" s="7" t="s">
        <v>118</v>
      </c>
      <c r="C44" s="6" t="s">
        <v>118</v>
      </c>
      <c r="D44" s="6" t="s">
        <v>81</v>
      </c>
      <c r="E44" s="40" t="s">
        <v>125</v>
      </c>
      <c r="F44" s="40" t="s">
        <v>126</v>
      </c>
      <c r="G44" s="6" t="s">
        <v>196</v>
      </c>
      <c r="H44" s="6" t="s">
        <v>128</v>
      </c>
      <c r="I44" s="8">
        <v>0.72916666666666663</v>
      </c>
      <c r="J44" s="8">
        <v>0.83333333333333337</v>
      </c>
      <c r="K44" s="9">
        <v>46282</v>
      </c>
      <c r="L44" s="9">
        <v>46282</v>
      </c>
      <c r="M44" s="30" t="s">
        <v>129</v>
      </c>
    </row>
    <row r="45" spans="1:13" ht="60" x14ac:dyDescent="0.25">
      <c r="A45" s="29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5" s="7" t="s">
        <v>118</v>
      </c>
      <c r="C45" s="6" t="s">
        <v>118</v>
      </c>
      <c r="D45" s="6" t="s">
        <v>131</v>
      </c>
      <c r="E45" s="40" t="s">
        <v>132</v>
      </c>
      <c r="F45" s="40" t="s">
        <v>133</v>
      </c>
      <c r="G45" s="6" t="s">
        <v>122</v>
      </c>
      <c r="H45" s="6" t="s">
        <v>134</v>
      </c>
      <c r="I45" s="8">
        <v>0</v>
      </c>
      <c r="J45" s="8">
        <v>0.99930555555555556</v>
      </c>
      <c r="K45" s="9">
        <v>45632</v>
      </c>
      <c r="L45" s="9" t="s">
        <v>79</v>
      </c>
      <c r="M45" s="30" t="s">
        <v>101</v>
      </c>
    </row>
    <row r="46" spans="1:13" ht="45" x14ac:dyDescent="0.25">
      <c r="A46" s="29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6" s="7" t="s">
        <v>118</v>
      </c>
      <c r="C46" s="6" t="s">
        <v>118</v>
      </c>
      <c r="D46" s="6" t="s">
        <v>81</v>
      </c>
      <c r="E46" s="40" t="s">
        <v>135</v>
      </c>
      <c r="F46" s="40" t="s">
        <v>136</v>
      </c>
      <c r="G46" s="6" t="s">
        <v>71</v>
      </c>
      <c r="H46" s="6" t="s">
        <v>137</v>
      </c>
      <c r="I46" s="8">
        <v>0</v>
      </c>
      <c r="J46" s="8">
        <v>0.25</v>
      </c>
      <c r="K46" s="9">
        <v>46282</v>
      </c>
      <c r="L46" s="9">
        <v>46282</v>
      </c>
      <c r="M46" s="30" t="s">
        <v>138</v>
      </c>
    </row>
    <row r="47" spans="1:13" ht="45" x14ac:dyDescent="0.25">
      <c r="A47" s="29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7" s="7" t="s">
        <v>118</v>
      </c>
      <c r="C47" s="6" t="s">
        <v>118</v>
      </c>
      <c r="D47" s="6" t="s">
        <v>110</v>
      </c>
      <c r="E47" s="40" t="s">
        <v>139</v>
      </c>
      <c r="F47" s="40" t="s">
        <v>140</v>
      </c>
      <c r="G47" s="6" t="s">
        <v>122</v>
      </c>
      <c r="H47" s="6" t="s">
        <v>141</v>
      </c>
      <c r="I47" s="8">
        <v>0</v>
      </c>
      <c r="J47" s="8">
        <v>0.99930555555555556</v>
      </c>
      <c r="K47" s="9">
        <v>45905</v>
      </c>
      <c r="L47" s="9" t="s">
        <v>79</v>
      </c>
      <c r="M47" s="30" t="s">
        <v>101</v>
      </c>
    </row>
    <row r="48" spans="1:13" ht="30" x14ac:dyDescent="0.25">
      <c r="A48" s="29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8" s="7" t="s">
        <v>118</v>
      </c>
      <c r="C48" s="6" t="s">
        <v>118</v>
      </c>
      <c r="D48" s="6" t="s">
        <v>142</v>
      </c>
      <c r="E48" s="40" t="s">
        <v>143</v>
      </c>
      <c r="F48" s="40">
        <v>129.1</v>
      </c>
      <c r="G48" s="6" t="s">
        <v>144</v>
      </c>
      <c r="H48" s="6" t="s">
        <v>79</v>
      </c>
      <c r="I48" s="8">
        <v>0</v>
      </c>
      <c r="J48" s="8">
        <v>0.99930555555555556</v>
      </c>
      <c r="K48" s="9">
        <v>43068</v>
      </c>
      <c r="L48" s="9" t="s">
        <v>79</v>
      </c>
      <c r="M48" s="30" t="s">
        <v>145</v>
      </c>
    </row>
    <row r="49" spans="1:13" ht="30" x14ac:dyDescent="0.25">
      <c r="A49" s="29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9" s="7" t="s">
        <v>118</v>
      </c>
      <c r="C49" s="6" t="s">
        <v>118</v>
      </c>
      <c r="D49" s="6" t="s">
        <v>146</v>
      </c>
      <c r="E49" s="40" t="s">
        <v>147</v>
      </c>
      <c r="F49" s="40" t="s">
        <v>148</v>
      </c>
      <c r="G49" s="6" t="s">
        <v>77</v>
      </c>
      <c r="H49" s="6" t="s">
        <v>79</v>
      </c>
      <c r="I49" s="8">
        <v>0</v>
      </c>
      <c r="J49" s="8">
        <v>0.99930555555555556</v>
      </c>
      <c r="K49" s="9">
        <v>42990</v>
      </c>
      <c r="L49" s="9" t="s">
        <v>79</v>
      </c>
      <c r="M49" s="30" t="s">
        <v>145</v>
      </c>
    </row>
    <row r="50" spans="1:13" ht="30" x14ac:dyDescent="0.25">
      <c r="A50" s="29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50" s="7" t="s">
        <v>118</v>
      </c>
      <c r="C50" s="6" t="s">
        <v>118</v>
      </c>
      <c r="D50" s="6" t="s">
        <v>149</v>
      </c>
      <c r="E50" s="40" t="s">
        <v>147</v>
      </c>
      <c r="F50" s="40">
        <v>129.1</v>
      </c>
      <c r="G50" s="6" t="s">
        <v>77</v>
      </c>
      <c r="H50" s="6" t="s">
        <v>150</v>
      </c>
      <c r="I50" s="8">
        <v>0</v>
      </c>
      <c r="J50" s="8">
        <v>0.99930555555555556</v>
      </c>
      <c r="K50" s="9">
        <v>43767</v>
      </c>
      <c r="L50" s="9" t="s">
        <v>79</v>
      </c>
      <c r="M50" s="30" t="s">
        <v>145</v>
      </c>
    </row>
    <row r="51" spans="1:13" ht="45" x14ac:dyDescent="0.25">
      <c r="A51" s="29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51" s="7" t="s">
        <v>118</v>
      </c>
      <c r="C51" s="6" t="s">
        <v>151</v>
      </c>
      <c r="D51" s="6" t="s">
        <v>81</v>
      </c>
      <c r="E51" s="40" t="s">
        <v>152</v>
      </c>
      <c r="F51" s="40" t="s">
        <v>153</v>
      </c>
      <c r="G51" s="6" t="s">
        <v>71</v>
      </c>
      <c r="H51" s="6" t="s">
        <v>154</v>
      </c>
      <c r="I51" s="8">
        <v>0.41666666666666669</v>
      </c>
      <c r="J51" s="8">
        <v>0.5</v>
      </c>
      <c r="K51" s="9">
        <v>46282</v>
      </c>
      <c r="L51" s="9">
        <v>46282</v>
      </c>
      <c r="M51" s="30" t="s">
        <v>138</v>
      </c>
    </row>
    <row r="52" spans="1:13" ht="45" x14ac:dyDescent="0.25">
      <c r="A52" s="29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2" s="7" t="s">
        <v>151</v>
      </c>
      <c r="C52" s="6" t="s">
        <v>151</v>
      </c>
      <c r="D52" s="6" t="s">
        <v>81</v>
      </c>
      <c r="E52" s="40">
        <v>82</v>
      </c>
      <c r="F52" s="40" t="s">
        <v>155</v>
      </c>
      <c r="G52" s="6" t="s">
        <v>71</v>
      </c>
      <c r="H52" s="6" t="s">
        <v>156</v>
      </c>
      <c r="I52" s="8">
        <v>0.5</v>
      </c>
      <c r="J52" s="8">
        <v>0.75</v>
      </c>
      <c r="K52" s="9">
        <v>46282</v>
      </c>
      <c r="L52" s="9">
        <v>46282</v>
      </c>
      <c r="M52" s="30" t="s">
        <v>138</v>
      </c>
    </row>
    <row r="53" spans="1:13" ht="30" x14ac:dyDescent="0.25">
      <c r="A53" s="29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3" s="7" t="s">
        <v>151</v>
      </c>
      <c r="C53" s="6" t="s">
        <v>151</v>
      </c>
      <c r="D53" s="6" t="s">
        <v>157</v>
      </c>
      <c r="E53" s="40" t="s">
        <v>158</v>
      </c>
      <c r="F53" s="40" t="s">
        <v>159</v>
      </c>
      <c r="G53" s="6" t="s">
        <v>160</v>
      </c>
      <c r="H53" s="6" t="s">
        <v>161</v>
      </c>
      <c r="I53" s="8">
        <v>0</v>
      </c>
      <c r="J53" s="8">
        <v>0.99930555555555556</v>
      </c>
      <c r="K53" s="9">
        <v>46258</v>
      </c>
      <c r="L53" s="9" t="s">
        <v>79</v>
      </c>
      <c r="M53" s="30" t="s">
        <v>162</v>
      </c>
    </row>
    <row r="54" spans="1:13" ht="60" x14ac:dyDescent="0.25">
      <c r="A54" s="29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4" s="7" t="s">
        <v>151</v>
      </c>
      <c r="C54" s="6" t="s">
        <v>151</v>
      </c>
      <c r="D54" s="6" t="s">
        <v>163</v>
      </c>
      <c r="E54" s="40" t="s">
        <v>164</v>
      </c>
      <c r="F54" s="40" t="s">
        <v>165</v>
      </c>
      <c r="G54" s="6" t="s">
        <v>122</v>
      </c>
      <c r="H54" s="6" t="s">
        <v>166</v>
      </c>
      <c r="I54" s="8">
        <v>0</v>
      </c>
      <c r="J54" s="8">
        <v>0.99930555555555556</v>
      </c>
      <c r="K54" s="9">
        <v>45469</v>
      </c>
      <c r="L54" s="9" t="s">
        <v>79</v>
      </c>
      <c r="M54" s="30" t="s">
        <v>167</v>
      </c>
    </row>
    <row r="55" spans="1:13" x14ac:dyDescent="0.25">
      <c r="A55" s="29" cm="1">
        <f t="array" aca="1" ref="A5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5" s="7" t="s">
        <v>151</v>
      </c>
      <c r="C55" s="6" t="s">
        <v>168</v>
      </c>
      <c r="D55" s="6" t="s">
        <v>169</v>
      </c>
      <c r="E55" s="40" t="s">
        <v>170</v>
      </c>
      <c r="F55" s="40" t="s">
        <v>171</v>
      </c>
      <c r="G55" s="6" t="s">
        <v>122</v>
      </c>
      <c r="H55" s="6" t="s">
        <v>172</v>
      </c>
      <c r="I55" s="8">
        <v>0</v>
      </c>
      <c r="J55" s="8">
        <v>0.99930555555555556</v>
      </c>
      <c r="K55" s="9">
        <v>46255</v>
      </c>
      <c r="L55" s="9" t="s">
        <v>79</v>
      </c>
      <c r="M55" s="30" t="s">
        <v>173</v>
      </c>
    </row>
    <row r="56" spans="1:13" ht="30" x14ac:dyDescent="0.25">
      <c r="A56" s="29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6" s="7" t="s">
        <v>174</v>
      </c>
      <c r="C56" s="6" t="s">
        <v>174</v>
      </c>
      <c r="D56" s="6" t="s">
        <v>169</v>
      </c>
      <c r="E56" s="40">
        <v>3</v>
      </c>
      <c r="F56" s="40">
        <v>3.3</v>
      </c>
      <c r="G56" s="6" t="s">
        <v>122</v>
      </c>
      <c r="H56" s="6" t="s">
        <v>175</v>
      </c>
      <c r="I56" s="8">
        <v>0</v>
      </c>
      <c r="J56" s="8">
        <v>0.99930555555555556</v>
      </c>
      <c r="K56" s="9">
        <v>45386</v>
      </c>
      <c r="L56" s="9" t="s">
        <v>79</v>
      </c>
      <c r="M56" s="30" t="s">
        <v>167</v>
      </c>
    </row>
    <row r="57" spans="1:13" ht="30.75" thickBot="1" x14ac:dyDescent="0.3">
      <c r="A57" s="29" cm="1">
        <f t="array" aca="1" ref="A5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7" s="7" t="s">
        <v>174</v>
      </c>
      <c r="C57" s="6" t="s">
        <v>174</v>
      </c>
      <c r="D57" s="6" t="s">
        <v>176</v>
      </c>
      <c r="E57" s="40">
        <v>4</v>
      </c>
      <c r="F57" s="40">
        <v>4.07</v>
      </c>
      <c r="G57" s="6" t="s">
        <v>177</v>
      </c>
      <c r="H57" s="6" t="s">
        <v>178</v>
      </c>
      <c r="I57" s="8">
        <v>0</v>
      </c>
      <c r="J57" s="8">
        <v>0.99930555555555556</v>
      </c>
      <c r="K57" s="9">
        <v>45588</v>
      </c>
      <c r="L57" s="9" t="s">
        <v>79</v>
      </c>
      <c r="M57" s="30" t="s">
        <v>167</v>
      </c>
    </row>
    <row r="58" spans="1:13" ht="22.5" customHeight="1" thickBot="1" x14ac:dyDescent="0.3">
      <c r="A58" s="45"/>
      <c r="B58" s="46"/>
      <c r="C58" s="46"/>
      <c r="D58" s="112" t="s">
        <v>27</v>
      </c>
      <c r="E58" s="112"/>
      <c r="F58" s="112"/>
      <c r="G58" s="112"/>
      <c r="H58" s="112"/>
      <c r="I58" s="112"/>
      <c r="J58" s="112"/>
      <c r="K58" s="112"/>
      <c r="L58" s="46"/>
      <c r="M58" s="47"/>
    </row>
    <row r="59" spans="1:13" ht="45" x14ac:dyDescent="0.25">
      <c r="A59" s="29" cm="1">
        <f t="array" aca="1" ref="A5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59" s="7" t="s">
        <v>118</v>
      </c>
      <c r="C59" s="6" t="s">
        <v>179</v>
      </c>
      <c r="D59" s="6" t="s">
        <v>68</v>
      </c>
      <c r="E59" s="40" t="s">
        <v>133</v>
      </c>
      <c r="F59" s="40" t="s">
        <v>180</v>
      </c>
      <c r="G59" s="6" t="s">
        <v>71</v>
      </c>
      <c r="H59" s="6" t="s">
        <v>181</v>
      </c>
      <c r="I59" s="8">
        <v>0</v>
      </c>
      <c r="J59" s="8">
        <v>0.20833333333333334</v>
      </c>
      <c r="K59" s="9">
        <v>46282</v>
      </c>
      <c r="L59" s="9">
        <v>46282</v>
      </c>
      <c r="M59" s="30" t="s">
        <v>182</v>
      </c>
    </row>
    <row r="60" spans="1:13" ht="45" x14ac:dyDescent="0.25">
      <c r="A60" s="29" cm="1">
        <f t="array" aca="1" ref="A6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31</v>
      </c>
      <c r="B60" s="7" t="s">
        <v>118</v>
      </c>
      <c r="C60" s="6" t="s">
        <v>179</v>
      </c>
      <c r="D60" s="6" t="s">
        <v>68</v>
      </c>
      <c r="E60" s="40" t="s">
        <v>180</v>
      </c>
      <c r="F60" s="40" t="s">
        <v>183</v>
      </c>
      <c r="G60" s="6" t="s">
        <v>71</v>
      </c>
      <c r="H60" s="6" t="s">
        <v>181</v>
      </c>
      <c r="I60" s="8">
        <v>0</v>
      </c>
      <c r="J60" s="8">
        <v>0.20833333333333334</v>
      </c>
      <c r="K60" s="9">
        <v>46282</v>
      </c>
      <c r="L60" s="9">
        <v>46282</v>
      </c>
      <c r="M60" s="30" t="s">
        <v>182</v>
      </c>
    </row>
    <row r="61" spans="1:13" ht="75" x14ac:dyDescent="0.25">
      <c r="A61" s="29" cm="1">
        <f t="array" aca="1" ref="A6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32</v>
      </c>
      <c r="B61" s="7" t="s">
        <v>179</v>
      </c>
      <c r="C61" s="6" t="s">
        <v>184</v>
      </c>
      <c r="D61" s="6" t="s">
        <v>68</v>
      </c>
      <c r="E61" s="40" t="s">
        <v>185</v>
      </c>
      <c r="F61" s="40" t="s">
        <v>186</v>
      </c>
      <c r="G61" s="6" t="s">
        <v>71</v>
      </c>
      <c r="H61" s="6" t="s">
        <v>187</v>
      </c>
      <c r="I61" s="8">
        <v>0.45833333333333331</v>
      </c>
      <c r="J61" s="8">
        <v>0.70833333333333337</v>
      </c>
      <c r="K61" s="9">
        <v>46282</v>
      </c>
      <c r="L61" s="9">
        <v>46282</v>
      </c>
      <c r="M61" s="30" t="s">
        <v>188</v>
      </c>
    </row>
    <row r="62" spans="1:13" ht="30" x14ac:dyDescent="0.25">
      <c r="A62" s="29" cm="1">
        <f t="array" aca="1" ref="A6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33</v>
      </c>
      <c r="B62" s="7" t="s">
        <v>189</v>
      </c>
      <c r="C62" s="6" t="s">
        <v>189</v>
      </c>
      <c r="D62" s="6" t="s">
        <v>81</v>
      </c>
      <c r="E62" s="40" t="s">
        <v>190</v>
      </c>
      <c r="F62" s="40" t="s">
        <v>191</v>
      </c>
      <c r="G62" s="6" t="s">
        <v>71</v>
      </c>
      <c r="H62" s="6" t="s">
        <v>192</v>
      </c>
      <c r="I62" s="8">
        <v>0.95833333333333337</v>
      </c>
      <c r="J62" s="8">
        <v>0.99930555555555556</v>
      </c>
      <c r="K62" s="9">
        <v>46282</v>
      </c>
      <c r="L62" s="9">
        <v>46282</v>
      </c>
      <c r="M62" s="30" t="s">
        <v>96</v>
      </c>
    </row>
    <row r="63" spans="1:13" ht="30" x14ac:dyDescent="0.25">
      <c r="A63" s="29" cm="1">
        <f t="array" aca="1" ref="A6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34</v>
      </c>
      <c r="B63" s="7" t="s">
        <v>189</v>
      </c>
      <c r="C63" s="6" t="s">
        <v>189</v>
      </c>
      <c r="D63" s="6" t="s">
        <v>81</v>
      </c>
      <c r="E63" s="40" t="s">
        <v>190</v>
      </c>
      <c r="F63" s="40" t="s">
        <v>191</v>
      </c>
      <c r="G63" s="6" t="s">
        <v>71</v>
      </c>
      <c r="H63" s="6" t="s">
        <v>193</v>
      </c>
      <c r="I63" s="8">
        <v>0.95833333333333337</v>
      </c>
      <c r="J63" s="8">
        <v>0.99930555555555556</v>
      </c>
      <c r="K63" s="9">
        <v>46282</v>
      </c>
      <c r="L63" s="9">
        <v>46282</v>
      </c>
      <c r="M63" s="30" t="s">
        <v>96</v>
      </c>
    </row>
    <row r="64" spans="1:13" ht="30" x14ac:dyDescent="0.25">
      <c r="A64" s="29" cm="1">
        <f t="array" aca="1" ref="A6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35</v>
      </c>
      <c r="B64" s="7" t="s">
        <v>189</v>
      </c>
      <c r="C64" s="6" t="s">
        <v>189</v>
      </c>
      <c r="D64" s="6" t="s">
        <v>68</v>
      </c>
      <c r="E64" s="40" t="s">
        <v>194</v>
      </c>
      <c r="F64" s="40" t="s">
        <v>195</v>
      </c>
      <c r="G64" s="6" t="s">
        <v>196</v>
      </c>
      <c r="H64" s="6" t="s">
        <v>197</v>
      </c>
      <c r="I64" s="8">
        <v>0.625</v>
      </c>
      <c r="J64" s="8">
        <v>0.66666666666666663</v>
      </c>
      <c r="K64" s="9">
        <v>45719</v>
      </c>
      <c r="L64" s="9" t="s">
        <v>79</v>
      </c>
      <c r="M64" s="30" t="s">
        <v>198</v>
      </c>
    </row>
    <row r="65" spans="1:13" ht="60" x14ac:dyDescent="0.25">
      <c r="A65" s="29" cm="1">
        <f t="array" aca="1" ref="A6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36</v>
      </c>
      <c r="B65" s="7" t="s">
        <v>189</v>
      </c>
      <c r="C65" s="6" t="s">
        <v>199</v>
      </c>
      <c r="D65" s="6" t="s">
        <v>81</v>
      </c>
      <c r="E65" s="40" t="s">
        <v>200</v>
      </c>
      <c r="F65" s="40" t="s">
        <v>201</v>
      </c>
      <c r="G65" s="6" t="s">
        <v>71</v>
      </c>
      <c r="H65" s="6" t="s">
        <v>202</v>
      </c>
      <c r="I65" s="8">
        <v>0.45833333333333331</v>
      </c>
      <c r="J65" s="8">
        <v>0.70833333333333337</v>
      </c>
      <c r="K65" s="9">
        <v>46282</v>
      </c>
      <c r="L65" s="9">
        <v>46282</v>
      </c>
      <c r="M65" s="30" t="s">
        <v>203</v>
      </c>
    </row>
    <row r="66" spans="1:13" ht="30" x14ac:dyDescent="0.25">
      <c r="A66" s="29" cm="1">
        <f t="array" aca="1" ref="A6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37</v>
      </c>
      <c r="B66" s="7" t="s">
        <v>189</v>
      </c>
      <c r="C66" s="6" t="s">
        <v>199</v>
      </c>
      <c r="D66" s="6" t="s">
        <v>204</v>
      </c>
      <c r="E66" s="40" t="s">
        <v>205</v>
      </c>
      <c r="F66" s="40" t="s">
        <v>206</v>
      </c>
      <c r="G66" s="6" t="s">
        <v>207</v>
      </c>
      <c r="H66" s="6" t="s">
        <v>208</v>
      </c>
      <c r="I66" s="8">
        <v>0</v>
      </c>
      <c r="J66" s="8">
        <v>0.27083333333333331</v>
      </c>
      <c r="K66" s="9">
        <v>44737</v>
      </c>
      <c r="L66" s="9" t="s">
        <v>79</v>
      </c>
      <c r="M66" s="30" t="s">
        <v>209</v>
      </c>
    </row>
    <row r="67" spans="1:13" ht="30" x14ac:dyDescent="0.25">
      <c r="A67" s="29" cm="1">
        <f t="array" aca="1" ref="A6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38</v>
      </c>
      <c r="B67" s="7" t="s">
        <v>189</v>
      </c>
      <c r="C67" s="6" t="s">
        <v>199</v>
      </c>
      <c r="D67" s="6" t="s">
        <v>204</v>
      </c>
      <c r="E67" s="40" t="s">
        <v>205</v>
      </c>
      <c r="F67" s="40" t="s">
        <v>206</v>
      </c>
      <c r="G67" s="6" t="s">
        <v>207</v>
      </c>
      <c r="H67" s="6" t="s">
        <v>208</v>
      </c>
      <c r="I67" s="8">
        <v>0.9375</v>
      </c>
      <c r="J67" s="8">
        <v>0.99930555555555556</v>
      </c>
      <c r="K67" s="9">
        <v>44737</v>
      </c>
      <c r="L67" s="9" t="s">
        <v>79</v>
      </c>
      <c r="M67" s="30" t="s">
        <v>209</v>
      </c>
    </row>
    <row r="68" spans="1:13" ht="45" x14ac:dyDescent="0.25">
      <c r="A68" s="29" cm="1">
        <f t="array" aca="1" ref="A6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39</v>
      </c>
      <c r="B68" s="7" t="s">
        <v>199</v>
      </c>
      <c r="C68" s="6" t="s">
        <v>199</v>
      </c>
      <c r="D68" s="6" t="s">
        <v>68</v>
      </c>
      <c r="E68" s="40" t="s">
        <v>210</v>
      </c>
      <c r="F68" s="40" t="s">
        <v>211</v>
      </c>
      <c r="G68" s="6" t="s">
        <v>196</v>
      </c>
      <c r="H68" s="6" t="s">
        <v>245</v>
      </c>
      <c r="I68" s="8">
        <v>0.39583333333333331</v>
      </c>
      <c r="J68" s="8">
        <v>0.79166666666666663</v>
      </c>
      <c r="K68" s="9">
        <v>46282</v>
      </c>
      <c r="L68" s="9">
        <v>46282</v>
      </c>
      <c r="M68" s="30" t="s">
        <v>212</v>
      </c>
    </row>
    <row r="69" spans="1:13" x14ac:dyDescent="0.25">
      <c r="A69" s="29" cm="1">
        <f t="array" aca="1" ref="A6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40</v>
      </c>
      <c r="B69" s="7" t="s">
        <v>199</v>
      </c>
      <c r="C69" s="6" t="s">
        <v>199</v>
      </c>
      <c r="D69" s="6" t="s">
        <v>204</v>
      </c>
      <c r="E69" s="40">
        <v>18.64</v>
      </c>
      <c r="F69" s="40">
        <v>18.64</v>
      </c>
      <c r="G69" s="6" t="s">
        <v>207</v>
      </c>
      <c r="H69" s="6" t="s">
        <v>213</v>
      </c>
      <c r="I69" s="8">
        <v>0</v>
      </c>
      <c r="J69" s="8">
        <v>0.99930555555555556</v>
      </c>
      <c r="K69" s="9">
        <v>46277</v>
      </c>
      <c r="L69" s="9" t="s">
        <v>79</v>
      </c>
      <c r="M69" s="30" t="s">
        <v>214</v>
      </c>
    </row>
    <row r="70" spans="1:13" ht="45" x14ac:dyDescent="0.25">
      <c r="A70" s="29" cm="1">
        <f t="array" aca="1" ref="A7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41</v>
      </c>
      <c r="B70" s="7" t="s">
        <v>215</v>
      </c>
      <c r="C70" s="6" t="s">
        <v>215</v>
      </c>
      <c r="D70" s="6" t="s">
        <v>204</v>
      </c>
      <c r="E70" s="40" t="s">
        <v>216</v>
      </c>
      <c r="F70" s="40" t="s">
        <v>217</v>
      </c>
      <c r="G70" s="6" t="s">
        <v>196</v>
      </c>
      <c r="H70" s="6" t="s">
        <v>218</v>
      </c>
      <c r="I70" s="8">
        <v>0.29166666666666669</v>
      </c>
      <c r="J70" s="8">
        <v>0.375</v>
      </c>
      <c r="K70" s="9">
        <v>45365</v>
      </c>
      <c r="L70" s="9" t="s">
        <v>79</v>
      </c>
      <c r="M70" s="30" t="s">
        <v>198</v>
      </c>
    </row>
    <row r="71" spans="1:13" ht="45" x14ac:dyDescent="0.25">
      <c r="A71" s="29" cm="1">
        <f t="array" aca="1" ref="A7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42</v>
      </c>
      <c r="B71" s="7" t="s">
        <v>215</v>
      </c>
      <c r="C71" s="6" t="s">
        <v>215</v>
      </c>
      <c r="D71" s="6" t="s">
        <v>204</v>
      </c>
      <c r="E71" s="40" t="s">
        <v>216</v>
      </c>
      <c r="F71" s="40" t="s">
        <v>217</v>
      </c>
      <c r="G71" s="6" t="s">
        <v>196</v>
      </c>
      <c r="H71" s="6" t="s">
        <v>218</v>
      </c>
      <c r="I71" s="8">
        <v>0.56944444444444442</v>
      </c>
      <c r="J71" s="8">
        <v>0.59375</v>
      </c>
      <c r="K71" s="9">
        <v>45365</v>
      </c>
      <c r="L71" s="9" t="s">
        <v>79</v>
      </c>
      <c r="M71" s="30" t="s">
        <v>198</v>
      </c>
    </row>
    <row r="72" spans="1:13" ht="45.75" thickBot="1" x14ac:dyDescent="0.3">
      <c r="A72" s="29" cm="1">
        <f t="array" aca="1" ref="A7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43</v>
      </c>
      <c r="B72" s="7" t="s">
        <v>215</v>
      </c>
      <c r="C72" s="6" t="s">
        <v>215</v>
      </c>
      <c r="D72" s="6" t="s">
        <v>204</v>
      </c>
      <c r="E72" s="40" t="s">
        <v>216</v>
      </c>
      <c r="F72" s="40" t="s">
        <v>217</v>
      </c>
      <c r="G72" s="6" t="s">
        <v>196</v>
      </c>
      <c r="H72" s="6" t="s">
        <v>218</v>
      </c>
      <c r="I72" s="8">
        <v>0.70833333333333337</v>
      </c>
      <c r="J72" s="8">
        <v>0.83333333333333337</v>
      </c>
      <c r="K72" s="9">
        <v>45365</v>
      </c>
      <c r="L72" s="9" t="s">
        <v>79</v>
      </c>
      <c r="M72" s="30" t="s">
        <v>198</v>
      </c>
    </row>
    <row r="73" spans="1:13" ht="22.5" customHeight="1" thickBot="1" x14ac:dyDescent="0.3">
      <c r="A73" s="45"/>
      <c r="B73" s="46"/>
      <c r="C73" s="46"/>
      <c r="D73" s="112" t="s">
        <v>28</v>
      </c>
      <c r="E73" s="112"/>
      <c r="F73" s="112"/>
      <c r="G73" s="112"/>
      <c r="H73" s="112"/>
      <c r="I73" s="112"/>
      <c r="J73" s="112"/>
      <c r="K73" s="112"/>
      <c r="L73" s="46"/>
      <c r="M73" s="47"/>
    </row>
    <row r="74" spans="1:13" ht="18" customHeight="1" x14ac:dyDescent="0.25">
      <c r="A74" s="151" t="s">
        <v>5</v>
      </c>
      <c r="B74" s="149" t="s">
        <v>0</v>
      </c>
      <c r="C74" s="150"/>
      <c r="D74" s="147" t="s">
        <v>11</v>
      </c>
      <c r="E74" s="137" t="s">
        <v>6</v>
      </c>
      <c r="F74" s="138"/>
      <c r="G74" s="147" t="s">
        <v>19</v>
      </c>
      <c r="H74" s="147" t="s">
        <v>16</v>
      </c>
      <c r="I74" s="145" t="s">
        <v>3</v>
      </c>
      <c r="J74" s="146"/>
      <c r="K74" s="155" t="s">
        <v>4</v>
      </c>
      <c r="L74" s="156"/>
      <c r="M74" s="170" t="s">
        <v>9</v>
      </c>
    </row>
    <row r="75" spans="1:13" ht="18" customHeight="1" x14ac:dyDescent="0.25">
      <c r="A75" s="152"/>
      <c r="B75" s="2" t="s">
        <v>1</v>
      </c>
      <c r="C75" s="5" t="s">
        <v>2</v>
      </c>
      <c r="D75" s="148"/>
      <c r="E75" s="39" t="s">
        <v>1</v>
      </c>
      <c r="F75" s="39" t="s">
        <v>2</v>
      </c>
      <c r="G75" s="148"/>
      <c r="H75" s="148"/>
      <c r="I75" s="10" t="s">
        <v>8</v>
      </c>
      <c r="J75" s="11" t="s">
        <v>17</v>
      </c>
      <c r="K75" s="11" t="s">
        <v>8</v>
      </c>
      <c r="L75" s="11" t="s">
        <v>17</v>
      </c>
      <c r="M75" s="171"/>
    </row>
    <row r="76" spans="1:13" ht="150" x14ac:dyDescent="0.25">
      <c r="A76" s="29" cm="1">
        <f t="array" aca="1" ref="A7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44</v>
      </c>
      <c r="B76" s="7" t="s">
        <v>219</v>
      </c>
      <c r="C76" s="6" t="s">
        <v>118</v>
      </c>
      <c r="D76" s="6" t="s">
        <v>220</v>
      </c>
      <c r="E76" s="40" t="s">
        <v>221</v>
      </c>
      <c r="F76" s="40" t="s">
        <v>222</v>
      </c>
      <c r="G76" s="6" t="s">
        <v>223</v>
      </c>
      <c r="H76" s="6" t="s">
        <v>224</v>
      </c>
      <c r="I76" s="44">
        <v>0</v>
      </c>
      <c r="J76" s="44">
        <v>0.20833333333333334</v>
      </c>
      <c r="K76" s="9">
        <v>46282</v>
      </c>
      <c r="L76" s="9">
        <v>46282</v>
      </c>
      <c r="M76" s="30" t="s">
        <v>73</v>
      </c>
    </row>
    <row r="77" spans="1:13" ht="135" x14ac:dyDescent="0.25">
      <c r="A77" s="29" cm="1">
        <f t="array" aca="1" ref="A7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45</v>
      </c>
      <c r="B77" s="7" t="s">
        <v>219</v>
      </c>
      <c r="C77" s="6" t="s">
        <v>118</v>
      </c>
      <c r="D77" s="6" t="s">
        <v>220</v>
      </c>
      <c r="E77" s="40" t="s">
        <v>221</v>
      </c>
      <c r="F77" s="40" t="s">
        <v>222</v>
      </c>
      <c r="G77" s="6" t="s">
        <v>223</v>
      </c>
      <c r="H77" s="6" t="s">
        <v>244</v>
      </c>
      <c r="I77" s="44">
        <v>0</v>
      </c>
      <c r="J77" s="44">
        <v>0.20833333333333334</v>
      </c>
      <c r="K77" s="9">
        <v>46282</v>
      </c>
      <c r="L77" s="9">
        <v>46282</v>
      </c>
      <c r="M77" s="30" t="s">
        <v>73</v>
      </c>
    </row>
    <row r="78" spans="1:13" ht="90" x14ac:dyDescent="0.25">
      <c r="A78" s="29" cm="1">
        <f t="array" aca="1" ref="A7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46</v>
      </c>
      <c r="B78" s="7" t="s">
        <v>219</v>
      </c>
      <c r="C78" s="6" t="s">
        <v>118</v>
      </c>
      <c r="D78" s="6" t="s">
        <v>220</v>
      </c>
      <c r="E78" s="40" t="s">
        <v>221</v>
      </c>
      <c r="F78" s="40">
        <v>68.036000000000001</v>
      </c>
      <c r="G78" s="6" t="s">
        <v>223</v>
      </c>
      <c r="H78" s="6" t="s">
        <v>225</v>
      </c>
      <c r="I78" s="44">
        <v>0</v>
      </c>
      <c r="J78" s="44">
        <v>0.20833333333333334</v>
      </c>
      <c r="K78" s="9">
        <v>46282</v>
      </c>
      <c r="L78" s="9">
        <v>46282</v>
      </c>
      <c r="M78" s="30" t="s">
        <v>212</v>
      </c>
    </row>
    <row r="79" spans="1:13" ht="150" x14ac:dyDescent="0.25">
      <c r="A79" s="29" cm="1">
        <f t="array" aca="1" ref="A7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47</v>
      </c>
      <c r="B79" s="7" t="s">
        <v>219</v>
      </c>
      <c r="C79" s="6" t="s">
        <v>118</v>
      </c>
      <c r="D79" s="6" t="s">
        <v>220</v>
      </c>
      <c r="E79" s="40" t="s">
        <v>221</v>
      </c>
      <c r="F79" s="40" t="s">
        <v>222</v>
      </c>
      <c r="G79" s="6" t="s">
        <v>223</v>
      </c>
      <c r="H79" s="6" t="s">
        <v>224</v>
      </c>
      <c r="I79" s="44">
        <v>0.95833333333333337</v>
      </c>
      <c r="J79" s="44">
        <v>0.99930555555555556</v>
      </c>
      <c r="K79" s="9">
        <v>46282</v>
      </c>
      <c r="L79" s="9">
        <v>46282</v>
      </c>
      <c r="M79" s="30" t="s">
        <v>73</v>
      </c>
    </row>
    <row r="80" spans="1:13" ht="30" x14ac:dyDescent="0.25">
      <c r="A80" s="29" cm="1">
        <f t="array" aca="1" ref="A8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48</v>
      </c>
      <c r="B80" s="7" t="s">
        <v>67</v>
      </c>
      <c r="C80" s="6" t="s">
        <v>109</v>
      </c>
      <c r="D80" s="6" t="s">
        <v>110</v>
      </c>
      <c r="E80" s="40" t="s">
        <v>111</v>
      </c>
      <c r="F80" s="40" t="s">
        <v>112</v>
      </c>
      <c r="G80" s="6" t="s">
        <v>223</v>
      </c>
      <c r="H80" s="6" t="s">
        <v>113</v>
      </c>
      <c r="I80" s="44">
        <v>0</v>
      </c>
      <c r="J80" s="44">
        <v>0.20833333333333334</v>
      </c>
      <c r="K80" s="9">
        <v>46282</v>
      </c>
      <c r="L80" s="9">
        <v>46282</v>
      </c>
      <c r="M80" s="30" t="s">
        <v>226</v>
      </c>
    </row>
    <row r="81" spans="1:13" ht="30" x14ac:dyDescent="0.25">
      <c r="A81" s="29" cm="1">
        <f t="array" aca="1" ref="A8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49</v>
      </c>
      <c r="B81" s="7" t="s">
        <v>109</v>
      </c>
      <c r="C81" s="6" t="s">
        <v>118</v>
      </c>
      <c r="D81" s="6" t="s">
        <v>110</v>
      </c>
      <c r="E81" s="40" t="s">
        <v>227</v>
      </c>
      <c r="F81" s="40" t="s">
        <v>228</v>
      </c>
      <c r="G81" s="6" t="s">
        <v>223</v>
      </c>
      <c r="H81" s="6" t="s">
        <v>229</v>
      </c>
      <c r="I81" s="44">
        <v>0</v>
      </c>
      <c r="J81" s="44">
        <v>0.20833333333333334</v>
      </c>
      <c r="K81" s="9">
        <v>46282</v>
      </c>
      <c r="L81" s="9">
        <v>46282</v>
      </c>
      <c r="M81" s="30" t="s">
        <v>226</v>
      </c>
    </row>
    <row r="82" spans="1:13" ht="90" x14ac:dyDescent="0.25">
      <c r="A82" s="29" cm="1">
        <f t="array" aca="1" ref="A8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50</v>
      </c>
      <c r="B82" s="7" t="s">
        <v>118</v>
      </c>
      <c r="C82" s="6" t="s">
        <v>179</v>
      </c>
      <c r="D82" s="6" t="s">
        <v>220</v>
      </c>
      <c r="E82" s="40" t="s">
        <v>133</v>
      </c>
      <c r="F82" s="40" t="s">
        <v>230</v>
      </c>
      <c r="G82" s="6" t="s">
        <v>223</v>
      </c>
      <c r="H82" s="6" t="s">
        <v>231</v>
      </c>
      <c r="I82" s="44">
        <v>0</v>
      </c>
      <c r="J82" s="44">
        <v>0.20833333333333334</v>
      </c>
      <c r="K82" s="9">
        <v>46282</v>
      </c>
      <c r="L82" s="9">
        <v>46282</v>
      </c>
      <c r="M82" s="30" t="s">
        <v>182</v>
      </c>
    </row>
    <row r="83" spans="1:13" ht="75" x14ac:dyDescent="0.25">
      <c r="A83" s="29" cm="1">
        <f t="array" aca="1" ref="A8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51</v>
      </c>
      <c r="B83" s="7" t="s">
        <v>118</v>
      </c>
      <c r="C83" s="6" t="s">
        <v>232</v>
      </c>
      <c r="D83" s="6" t="s">
        <v>220</v>
      </c>
      <c r="E83" s="40" t="s">
        <v>233</v>
      </c>
      <c r="F83" s="40" t="s">
        <v>234</v>
      </c>
      <c r="G83" s="6" t="s">
        <v>223</v>
      </c>
      <c r="H83" s="6" t="s">
        <v>235</v>
      </c>
      <c r="I83" s="44">
        <v>0</v>
      </c>
      <c r="J83" s="44">
        <v>0.20833333333333334</v>
      </c>
      <c r="K83" s="9">
        <v>46282</v>
      </c>
      <c r="L83" s="9">
        <v>46282</v>
      </c>
      <c r="M83" s="30" t="s">
        <v>212</v>
      </c>
    </row>
    <row r="84" spans="1:13" ht="120" x14ac:dyDescent="0.25">
      <c r="A84" s="29" cm="1">
        <f t="array" aca="1" ref="A8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52</v>
      </c>
      <c r="B84" s="7" t="s">
        <v>118</v>
      </c>
      <c r="C84" s="6" t="s">
        <v>232</v>
      </c>
      <c r="D84" s="6" t="s">
        <v>220</v>
      </c>
      <c r="E84" s="40" t="s">
        <v>233</v>
      </c>
      <c r="F84" s="40">
        <v>28.001999999999999</v>
      </c>
      <c r="G84" s="6" t="s">
        <v>223</v>
      </c>
      <c r="H84" s="6" t="s">
        <v>236</v>
      </c>
      <c r="I84" s="44">
        <v>0.95833333333333337</v>
      </c>
      <c r="J84" s="44">
        <v>0.99930555555555556</v>
      </c>
      <c r="K84" s="9">
        <v>46282</v>
      </c>
      <c r="L84" s="9">
        <v>46282</v>
      </c>
      <c r="M84" s="30" t="s">
        <v>73</v>
      </c>
    </row>
    <row r="85" spans="1:13" ht="45" x14ac:dyDescent="0.25">
      <c r="A85" s="29" cm="1">
        <f t="array" aca="1" ref="A8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53</v>
      </c>
      <c r="B85" s="7" t="s">
        <v>184</v>
      </c>
      <c r="C85" s="6" t="s">
        <v>184</v>
      </c>
      <c r="D85" s="6" t="s">
        <v>110</v>
      </c>
      <c r="E85" s="40" t="s">
        <v>237</v>
      </c>
      <c r="F85" s="40" t="s">
        <v>238</v>
      </c>
      <c r="G85" s="6" t="s">
        <v>223</v>
      </c>
      <c r="H85" s="6" t="s">
        <v>239</v>
      </c>
      <c r="I85" s="44">
        <v>0</v>
      </c>
      <c r="J85" s="44">
        <v>0.20833333333333334</v>
      </c>
      <c r="K85" s="9">
        <v>46282</v>
      </c>
      <c r="L85" s="9">
        <v>46282</v>
      </c>
      <c r="M85" s="30" t="s">
        <v>226</v>
      </c>
    </row>
    <row r="86" spans="1:13" ht="45" x14ac:dyDescent="0.25">
      <c r="A86" s="29" cm="1">
        <f t="array" aca="1" ref="A8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54</v>
      </c>
      <c r="B86" s="7" t="s">
        <v>189</v>
      </c>
      <c r="C86" s="6" t="s">
        <v>189</v>
      </c>
      <c r="D86" s="6" t="s">
        <v>119</v>
      </c>
      <c r="E86" s="40" t="s">
        <v>190</v>
      </c>
      <c r="F86" s="40" t="s">
        <v>191</v>
      </c>
      <c r="G86" s="6" t="s">
        <v>223</v>
      </c>
      <c r="H86" s="6" t="s">
        <v>240</v>
      </c>
      <c r="I86" s="44">
        <v>0</v>
      </c>
      <c r="J86" s="44">
        <v>0.20833333333333334</v>
      </c>
      <c r="K86" s="9">
        <v>46282</v>
      </c>
      <c r="L86" s="9">
        <v>46282</v>
      </c>
      <c r="M86" s="30" t="s">
        <v>226</v>
      </c>
    </row>
    <row r="87" spans="1:13" ht="165" x14ac:dyDescent="0.25">
      <c r="A87" s="29" cm="1">
        <f t="array" aca="1" ref="A8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55</v>
      </c>
      <c r="B87" s="7" t="s">
        <v>219</v>
      </c>
      <c r="C87" s="6" t="s">
        <v>219</v>
      </c>
      <c r="D87" s="172" t="s">
        <v>241</v>
      </c>
      <c r="E87" s="173"/>
      <c r="F87" s="174"/>
      <c r="G87" s="6" t="s">
        <v>223</v>
      </c>
      <c r="H87" s="6" t="s">
        <v>242</v>
      </c>
      <c r="I87" s="44">
        <v>0</v>
      </c>
      <c r="J87" s="44">
        <v>0.20833333333333334</v>
      </c>
      <c r="K87" s="9">
        <v>46282</v>
      </c>
      <c r="L87" s="9">
        <v>46282</v>
      </c>
      <c r="M87" s="30" t="s">
        <v>243</v>
      </c>
    </row>
    <row r="88" spans="1:13" ht="4.5" customHeight="1" thickBot="1" x14ac:dyDescent="0.3">
      <c r="A88" s="22"/>
      <c r="B88" s="16"/>
      <c r="C88" s="17"/>
      <c r="D88" s="17"/>
      <c r="E88" s="41"/>
      <c r="F88" s="41"/>
      <c r="G88" s="17"/>
      <c r="H88" s="17"/>
      <c r="I88" s="18"/>
      <c r="J88" s="18"/>
      <c r="K88" s="19"/>
      <c r="L88" s="19"/>
      <c r="M88" s="20"/>
    </row>
    <row r="89" spans="1:13" ht="15" customHeight="1" x14ac:dyDescent="0.25">
      <c r="A89" s="175" t="s">
        <v>59</v>
      </c>
      <c r="B89" s="176"/>
      <c r="C89" s="176"/>
      <c r="D89" s="176"/>
      <c r="E89" s="176"/>
      <c r="F89" s="176"/>
      <c r="G89" s="176"/>
      <c r="H89" s="176"/>
      <c r="I89" s="176"/>
      <c r="J89" s="176"/>
      <c r="K89" s="176"/>
      <c r="L89" s="176"/>
      <c r="M89" s="177"/>
    </row>
    <row r="90" spans="1:13" ht="15" customHeight="1" thickBot="1" x14ac:dyDescent="0.3">
      <c r="A90" s="178"/>
      <c r="B90" s="179"/>
      <c r="C90" s="179"/>
      <c r="D90" s="179"/>
      <c r="E90" s="179"/>
      <c r="F90" s="179"/>
      <c r="G90" s="179"/>
      <c r="H90" s="179"/>
      <c r="I90" s="179"/>
      <c r="J90" s="179"/>
      <c r="K90" s="179"/>
      <c r="L90" s="179"/>
      <c r="M90" s="180"/>
    </row>
    <row r="91" spans="1:13" ht="15" customHeight="1" x14ac:dyDescent="0.25">
      <c r="A91" s="99" t="s">
        <v>60</v>
      </c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1"/>
    </row>
    <row r="92" spans="1:13" ht="15" customHeight="1" thickBot="1" x14ac:dyDescent="0.3">
      <c r="A92" s="102"/>
      <c r="B92" s="103"/>
      <c r="C92" s="103"/>
      <c r="D92" s="103"/>
      <c r="E92" s="103"/>
      <c r="F92" s="103"/>
      <c r="G92" s="103"/>
      <c r="H92" s="103"/>
      <c r="I92" s="103"/>
      <c r="J92" s="103"/>
      <c r="K92" s="103"/>
      <c r="L92" s="103"/>
      <c r="M92" s="104"/>
    </row>
    <row r="93" spans="1:13" s="21" customFormat="1" ht="23.25" x14ac:dyDescent="0.25">
      <c r="A93" s="105" t="s">
        <v>62</v>
      </c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7"/>
    </row>
    <row r="94" spans="1:13" s="21" customFormat="1" ht="23.25" x14ac:dyDescent="0.25">
      <c r="A94" s="158" t="s">
        <v>23</v>
      </c>
      <c r="B94" s="159"/>
      <c r="C94" s="159"/>
      <c r="D94" s="159"/>
      <c r="E94" s="159"/>
      <c r="F94" s="159"/>
      <c r="G94" s="159"/>
      <c r="H94" s="159"/>
      <c r="I94" s="159"/>
      <c r="J94" s="159"/>
      <c r="K94" s="159"/>
      <c r="L94" s="159"/>
      <c r="M94" s="160"/>
    </row>
    <row r="95" spans="1:13" s="21" customFormat="1" ht="24" thickBot="1" x14ac:dyDescent="0.3">
      <c r="A95" s="158" t="s">
        <v>24</v>
      </c>
      <c r="B95" s="159"/>
      <c r="C95" s="159"/>
      <c r="D95" s="159"/>
      <c r="E95" s="159"/>
      <c r="F95" s="159"/>
      <c r="G95" s="159"/>
      <c r="H95" s="159"/>
      <c r="I95" s="159"/>
      <c r="J95" s="159"/>
      <c r="K95" s="159"/>
      <c r="L95" s="159"/>
      <c r="M95" s="160"/>
    </row>
    <row r="96" spans="1:13" s="21" customFormat="1" ht="23.25" x14ac:dyDescent="0.25">
      <c r="A96" s="161" t="s">
        <v>63</v>
      </c>
      <c r="B96" s="162"/>
      <c r="C96" s="162"/>
      <c r="D96" s="162"/>
      <c r="E96" s="162"/>
      <c r="F96" s="162"/>
      <c r="G96" s="162"/>
      <c r="H96" s="162"/>
      <c r="I96" s="162"/>
      <c r="J96" s="162"/>
      <c r="K96" s="162"/>
      <c r="L96" s="162"/>
      <c r="M96" s="163"/>
    </row>
    <row r="97" spans="1:13" s="21" customFormat="1" ht="51.75" customHeight="1" thickBot="1" x14ac:dyDescent="0.3">
      <c r="A97" s="164" t="s">
        <v>25</v>
      </c>
      <c r="B97" s="165"/>
      <c r="C97" s="165"/>
      <c r="D97" s="165"/>
      <c r="E97" s="165"/>
      <c r="F97" s="165"/>
      <c r="G97" s="165"/>
      <c r="H97" s="165"/>
      <c r="I97" s="165"/>
      <c r="J97" s="165"/>
      <c r="K97" s="165"/>
      <c r="L97" s="165"/>
      <c r="M97" s="166"/>
    </row>
    <row r="98" spans="1:13" s="21" customFormat="1" ht="4.5" customHeight="1" thickBot="1" x14ac:dyDescent="0.3">
      <c r="A98" s="31"/>
      <c r="B98" s="32"/>
      <c r="C98" s="32"/>
      <c r="D98" s="32"/>
      <c r="E98" s="42"/>
      <c r="F98" s="42"/>
      <c r="G98" s="33"/>
      <c r="H98" s="33"/>
      <c r="I98" s="33"/>
      <c r="J98" s="33"/>
      <c r="K98" s="33"/>
      <c r="L98" s="33"/>
      <c r="M98" s="34"/>
    </row>
    <row r="99" spans="1:13" ht="22.5" customHeight="1" thickBot="1" x14ac:dyDescent="0.3">
      <c r="A99" s="45"/>
      <c r="B99" s="46"/>
      <c r="C99" s="46"/>
      <c r="D99" s="112" t="s">
        <v>56</v>
      </c>
      <c r="E99" s="112"/>
      <c r="F99" s="112"/>
      <c r="G99" s="112"/>
      <c r="H99" s="112"/>
      <c r="I99" s="112"/>
      <c r="J99" s="112"/>
      <c r="K99" s="46"/>
      <c r="L99" s="46"/>
      <c r="M99" s="47"/>
    </row>
    <row r="100" spans="1:13" s="21" customFormat="1" ht="385.5" customHeight="1" thickBot="1" x14ac:dyDescent="0.3">
      <c r="A100" s="67"/>
      <c r="B100" s="68"/>
      <c r="C100" s="69"/>
      <c r="D100" s="69"/>
      <c r="E100" s="69"/>
      <c r="F100" s="69"/>
      <c r="G100" s="69"/>
      <c r="H100" s="157"/>
      <c r="I100" s="157"/>
      <c r="J100" s="157"/>
      <c r="K100" s="157"/>
      <c r="L100" s="157"/>
      <c r="M100" s="70"/>
    </row>
    <row r="101" spans="1:13" s="21" customFormat="1" ht="14.25" customHeight="1" x14ac:dyDescent="0.25">
      <c r="A101" s="64"/>
      <c r="B101" s="62"/>
      <c r="C101" s="62"/>
      <c r="D101" s="62"/>
      <c r="E101" s="63"/>
      <c r="F101" s="63"/>
      <c r="G101" s="62"/>
      <c r="H101" s="62"/>
      <c r="I101" s="62"/>
      <c r="J101" s="62"/>
      <c r="K101" s="62"/>
      <c r="L101" s="62"/>
      <c r="M101" s="62"/>
    </row>
    <row r="102" spans="1:13" s="21" customFormat="1" ht="14.25" customHeight="1" x14ac:dyDescent="0.25">
      <c r="A102" s="64"/>
      <c r="B102" s="62"/>
      <c r="C102" s="62"/>
      <c r="D102" s="62"/>
      <c r="E102" s="63"/>
      <c r="F102" s="63"/>
      <c r="G102" s="62"/>
      <c r="H102" s="62"/>
      <c r="I102" s="62"/>
      <c r="J102" s="62"/>
      <c r="K102" s="62"/>
      <c r="L102" s="62"/>
      <c r="M102" s="62"/>
    </row>
    <row r="103" spans="1:13" s="21" customFormat="1" ht="14.25" customHeight="1" x14ac:dyDescent="0.25">
      <c r="A103" s="64"/>
      <c r="B103" s="62"/>
      <c r="C103" s="62"/>
      <c r="D103" s="62"/>
      <c r="E103" s="63"/>
      <c r="F103" s="63"/>
      <c r="G103" s="62"/>
      <c r="H103" s="62"/>
      <c r="I103" s="62"/>
      <c r="J103" s="62"/>
      <c r="K103" s="62"/>
      <c r="L103" s="62"/>
      <c r="M103" s="62"/>
    </row>
    <row r="104" spans="1:13" s="21" customFormat="1" ht="14.25" customHeight="1" x14ac:dyDescent="0.25">
      <c r="A104" s="64"/>
      <c r="B104" s="62"/>
      <c r="C104" s="62"/>
      <c r="D104" s="62"/>
      <c r="E104" s="63"/>
      <c r="F104" s="63"/>
      <c r="G104" s="62"/>
      <c r="H104" s="62"/>
      <c r="I104" s="62"/>
      <c r="J104" s="62"/>
      <c r="K104" s="62"/>
      <c r="L104" s="62"/>
      <c r="M104" s="62"/>
    </row>
    <row r="105" spans="1:13" s="21" customFormat="1" ht="14.25" customHeight="1" x14ac:dyDescent="0.25">
      <c r="A105" s="64"/>
      <c r="B105" s="62"/>
      <c r="C105" s="62"/>
      <c r="D105" s="62"/>
      <c r="E105" s="63"/>
      <c r="F105" s="63"/>
      <c r="G105" s="62"/>
      <c r="H105" s="62"/>
      <c r="I105" s="62"/>
      <c r="J105" s="62"/>
      <c r="K105" s="62"/>
      <c r="L105" s="62"/>
      <c r="M105" s="62"/>
    </row>
    <row r="106" spans="1:13" s="21" customFormat="1" ht="14.25" customHeight="1" x14ac:dyDescent="0.25">
      <c r="A106" s="64"/>
      <c r="B106" s="62"/>
      <c r="C106" s="62"/>
      <c r="D106" s="62"/>
      <c r="E106" s="63"/>
      <c r="F106" s="63"/>
      <c r="G106" s="62"/>
      <c r="H106" s="62"/>
      <c r="I106" s="62"/>
      <c r="J106" s="62"/>
      <c r="K106" s="62"/>
      <c r="L106" s="62"/>
      <c r="M106" s="62"/>
    </row>
    <row r="107" spans="1:13" s="21" customFormat="1" ht="14.25" customHeight="1" x14ac:dyDescent="0.25">
      <c r="A107" s="64"/>
      <c r="B107" s="62"/>
      <c r="C107" s="62"/>
      <c r="D107" s="62"/>
      <c r="E107" s="63"/>
      <c r="F107" s="63"/>
      <c r="G107" s="62"/>
      <c r="H107" s="62"/>
      <c r="I107" s="62"/>
      <c r="J107" s="62"/>
      <c r="K107" s="62"/>
      <c r="L107" s="62"/>
      <c r="M107" s="62"/>
    </row>
    <row r="108" spans="1:13" s="21" customFormat="1" ht="14.25" customHeight="1" x14ac:dyDescent="0.25">
      <c r="A108" s="64"/>
      <c r="B108" s="62"/>
      <c r="C108" s="62"/>
      <c r="D108" s="62"/>
      <c r="E108" s="63"/>
      <c r="F108" s="63"/>
      <c r="G108" s="62"/>
      <c r="H108" s="62"/>
      <c r="I108" s="62"/>
      <c r="J108" s="62"/>
      <c r="K108" s="62"/>
      <c r="L108" s="62"/>
      <c r="M108" s="62"/>
    </row>
    <row r="109" spans="1:13" s="23" customFormat="1" ht="14.25" customHeight="1" x14ac:dyDescent="0.25">
      <c r="A109" s="64"/>
      <c r="B109" s="62"/>
      <c r="C109" s="62"/>
      <c r="D109" s="62"/>
      <c r="E109" s="63"/>
      <c r="F109" s="63"/>
      <c r="G109" s="62"/>
      <c r="H109" s="62"/>
      <c r="I109" s="62"/>
      <c r="J109" s="62"/>
      <c r="K109" s="62"/>
      <c r="L109" s="62"/>
      <c r="M109" s="62"/>
    </row>
    <row r="110" spans="1:13" s="21" customFormat="1" ht="14.25" customHeight="1" x14ac:dyDescent="0.25">
      <c r="A110" s="64"/>
      <c r="B110" s="62"/>
      <c r="C110" s="62"/>
      <c r="D110" s="62"/>
      <c r="E110" s="63"/>
      <c r="F110" s="63"/>
      <c r="G110" s="62"/>
      <c r="H110" s="62"/>
      <c r="I110" s="62"/>
      <c r="J110" s="62"/>
      <c r="K110" s="62"/>
      <c r="L110" s="62"/>
      <c r="M110" s="62"/>
    </row>
    <row r="111" spans="1:13" s="21" customFormat="1" ht="14.25" customHeight="1" x14ac:dyDescent="0.25">
      <c r="A111" s="64"/>
      <c r="B111" s="62"/>
      <c r="C111" s="62"/>
      <c r="D111" s="62"/>
      <c r="E111" s="63"/>
      <c r="F111" s="63"/>
      <c r="G111" s="62"/>
      <c r="H111" s="62"/>
      <c r="I111" s="62"/>
      <c r="J111" s="62"/>
      <c r="K111" s="62"/>
      <c r="L111" s="62"/>
      <c r="M111" s="62"/>
    </row>
    <row r="112" spans="1:13" s="21" customFormat="1" ht="14.25" customHeight="1" x14ac:dyDescent="0.25">
      <c r="A112" s="64"/>
      <c r="B112" s="62"/>
      <c r="C112" s="62"/>
      <c r="D112" s="62"/>
      <c r="E112" s="63"/>
      <c r="F112" s="63"/>
      <c r="G112" s="62"/>
      <c r="H112" s="62"/>
      <c r="I112" s="62"/>
      <c r="J112" s="62"/>
      <c r="K112" s="62"/>
      <c r="L112" s="62"/>
      <c r="M112" s="62"/>
    </row>
    <row r="113" spans="1:13" s="21" customFormat="1" ht="14.25" customHeight="1" x14ac:dyDescent="0.25">
      <c r="A113" s="64"/>
      <c r="B113" s="62"/>
      <c r="C113" s="62"/>
      <c r="D113" s="62"/>
      <c r="E113" s="63"/>
      <c r="F113" s="63"/>
      <c r="G113" s="62"/>
      <c r="H113" s="62"/>
      <c r="I113" s="62"/>
      <c r="J113" s="62"/>
      <c r="K113" s="62"/>
      <c r="L113" s="62"/>
      <c r="M113" s="62"/>
    </row>
    <row r="114" spans="1:13" s="21" customFormat="1" ht="14.25" customHeight="1" x14ac:dyDescent="0.25">
      <c r="A114" s="64"/>
      <c r="B114" s="62"/>
      <c r="C114" s="62"/>
      <c r="D114" s="62"/>
      <c r="E114" s="63"/>
      <c r="F114" s="63"/>
      <c r="G114" s="62"/>
      <c r="H114" s="62"/>
      <c r="I114" s="62"/>
      <c r="J114" s="62"/>
      <c r="K114" s="62"/>
      <c r="L114" s="62"/>
      <c r="M114" s="62"/>
    </row>
    <row r="115" spans="1:13" s="21" customFormat="1" ht="14.25" customHeight="1" x14ac:dyDescent="0.25">
      <c r="A115" s="64"/>
      <c r="B115" s="62"/>
      <c r="C115" s="62"/>
      <c r="D115" s="62"/>
      <c r="E115" s="63"/>
      <c r="F115" s="63"/>
      <c r="G115" s="62"/>
      <c r="H115" s="62"/>
      <c r="I115" s="62"/>
      <c r="J115" s="62"/>
      <c r="K115" s="62"/>
      <c r="L115" s="62"/>
      <c r="M115" s="62"/>
    </row>
    <row r="116" spans="1:13" s="21" customFormat="1" ht="14.25" customHeight="1" x14ac:dyDescent="0.25">
      <c r="A116" s="64"/>
      <c r="B116" s="62"/>
      <c r="C116" s="62"/>
      <c r="D116" s="62"/>
      <c r="E116" s="63"/>
      <c r="F116" s="63"/>
      <c r="G116" s="62"/>
      <c r="H116" s="62"/>
      <c r="I116" s="62"/>
      <c r="J116" s="62"/>
      <c r="K116" s="62"/>
      <c r="L116" s="62"/>
      <c r="M116" s="62"/>
    </row>
    <row r="117" spans="1:13" s="21" customFormat="1" ht="14.25" customHeight="1" x14ac:dyDescent="0.25">
      <c r="A117" s="64"/>
      <c r="B117" s="62"/>
      <c r="C117" s="62"/>
      <c r="D117" s="62"/>
      <c r="E117" s="63"/>
      <c r="F117" s="63"/>
      <c r="G117" s="62"/>
      <c r="H117" s="62"/>
      <c r="I117" s="62"/>
      <c r="J117" s="62"/>
      <c r="K117" s="62"/>
      <c r="L117" s="62"/>
      <c r="M117" s="62"/>
    </row>
    <row r="118" spans="1:13" s="21" customFormat="1" ht="14.25" customHeight="1" x14ac:dyDescent="0.25">
      <c r="A118" s="64"/>
      <c r="B118" s="62"/>
      <c r="C118" s="62"/>
      <c r="D118" s="62"/>
      <c r="E118" s="63"/>
      <c r="F118" s="63"/>
      <c r="G118" s="62"/>
      <c r="H118" s="62"/>
      <c r="I118" s="62"/>
      <c r="J118" s="62"/>
      <c r="K118" s="62"/>
      <c r="L118" s="62"/>
      <c r="M118" s="62"/>
    </row>
    <row r="119" spans="1:13" s="21" customFormat="1" ht="14.25" customHeight="1" x14ac:dyDescent="0.25">
      <c r="A119" s="64"/>
      <c r="B119" s="62"/>
      <c r="C119" s="62"/>
      <c r="D119" s="62"/>
      <c r="E119" s="63"/>
      <c r="F119" s="63"/>
      <c r="G119" s="62"/>
      <c r="H119" s="62"/>
      <c r="I119" s="62"/>
      <c r="J119" s="62"/>
      <c r="K119" s="62"/>
      <c r="L119" s="62"/>
      <c r="M119" s="62"/>
    </row>
    <row r="120" spans="1:13" s="21" customFormat="1" ht="14.25" customHeight="1" x14ac:dyDescent="0.25">
      <c r="A120" s="64"/>
      <c r="B120" s="62"/>
      <c r="C120" s="62"/>
      <c r="D120" s="62"/>
      <c r="E120" s="63"/>
      <c r="F120" s="63"/>
      <c r="G120" s="62"/>
      <c r="H120" s="62"/>
      <c r="I120" s="62"/>
      <c r="J120" s="62"/>
      <c r="K120" s="62"/>
      <c r="L120" s="62"/>
      <c r="M120" s="62"/>
    </row>
    <row r="121" spans="1:13" s="21" customFormat="1" ht="14.25" customHeight="1" x14ac:dyDescent="0.25">
      <c r="A121" s="64"/>
      <c r="B121" s="62"/>
      <c r="C121" s="62"/>
      <c r="D121" s="62"/>
      <c r="E121" s="63"/>
      <c r="F121" s="63"/>
      <c r="G121" s="62"/>
      <c r="H121" s="62"/>
      <c r="I121" s="62"/>
      <c r="J121" s="62"/>
      <c r="K121" s="62"/>
      <c r="L121" s="62"/>
      <c r="M121" s="62"/>
    </row>
    <row r="122" spans="1:13" s="21" customFormat="1" ht="14.25" customHeight="1" x14ac:dyDescent="0.25">
      <c r="A122" s="64"/>
      <c r="B122" s="62"/>
      <c r="C122" s="62"/>
      <c r="D122" s="62"/>
      <c r="E122" s="63"/>
      <c r="F122" s="63"/>
      <c r="G122" s="62"/>
      <c r="H122" s="62"/>
      <c r="I122" s="62"/>
      <c r="J122" s="62"/>
      <c r="K122" s="62"/>
      <c r="L122" s="62"/>
      <c r="M122" s="62"/>
    </row>
    <row r="123" spans="1:13" s="21" customFormat="1" ht="14.25" customHeight="1" x14ac:dyDescent="0.25">
      <c r="A123" s="64"/>
      <c r="B123" s="62"/>
      <c r="C123" s="62"/>
      <c r="D123" s="62"/>
      <c r="E123" s="63"/>
      <c r="F123" s="63"/>
      <c r="G123" s="62"/>
      <c r="H123" s="62"/>
      <c r="I123" s="62"/>
      <c r="J123" s="62"/>
      <c r="K123" s="62"/>
      <c r="L123" s="62"/>
      <c r="M123" s="62"/>
    </row>
    <row r="124" spans="1:13" s="21" customFormat="1" ht="14.25" customHeight="1" x14ac:dyDescent="0.25">
      <c r="A124" s="64"/>
      <c r="B124" s="62"/>
      <c r="C124" s="62"/>
      <c r="D124" s="62"/>
      <c r="E124" s="63"/>
      <c r="F124" s="63"/>
      <c r="G124" s="62"/>
      <c r="H124" s="62"/>
      <c r="I124" s="62"/>
      <c r="J124" s="62"/>
      <c r="K124" s="62"/>
      <c r="L124" s="62"/>
      <c r="M124" s="62"/>
    </row>
    <row r="125" spans="1:13" s="21" customFormat="1" ht="14.25" customHeight="1" x14ac:dyDescent="0.25">
      <c r="A125" s="64"/>
      <c r="B125" s="62"/>
      <c r="C125" s="62"/>
      <c r="D125" s="62"/>
      <c r="E125" s="63"/>
      <c r="F125" s="63"/>
      <c r="G125" s="62"/>
      <c r="H125" s="62"/>
      <c r="I125" s="62"/>
      <c r="J125" s="62"/>
      <c r="K125" s="62"/>
      <c r="L125" s="62"/>
      <c r="M125" s="62"/>
    </row>
    <row r="126" spans="1:13" s="21" customFormat="1" ht="14.25" customHeight="1" x14ac:dyDescent="0.25">
      <c r="A126" s="64"/>
      <c r="B126" s="62"/>
      <c r="C126" s="62"/>
      <c r="D126" s="62"/>
      <c r="E126" s="63"/>
      <c r="F126" s="63"/>
      <c r="G126" s="62"/>
      <c r="H126" s="62"/>
      <c r="I126" s="62"/>
      <c r="J126" s="62"/>
      <c r="K126" s="62"/>
      <c r="L126" s="62"/>
      <c r="M126" s="62"/>
    </row>
    <row r="127" spans="1:13" x14ac:dyDescent="0.25">
      <c r="A127" s="65"/>
      <c r="B127" s="65"/>
      <c r="C127" s="65"/>
      <c r="D127" s="65"/>
      <c r="E127" s="66"/>
      <c r="F127" s="66"/>
      <c r="G127" s="65"/>
      <c r="H127" s="65"/>
      <c r="I127" s="65"/>
      <c r="J127" s="65"/>
      <c r="K127" s="65"/>
      <c r="L127" s="65"/>
      <c r="M127" s="65"/>
    </row>
    <row r="128" spans="1:13" x14ac:dyDescent="0.25">
      <c r="A128" s="65"/>
      <c r="B128" s="65"/>
      <c r="C128" s="65"/>
      <c r="D128" s="65"/>
      <c r="E128" s="66"/>
      <c r="F128" s="66"/>
      <c r="G128" s="65"/>
      <c r="H128" s="65"/>
      <c r="I128" s="65"/>
      <c r="J128" s="65"/>
      <c r="K128" s="65"/>
      <c r="L128" s="65"/>
      <c r="M128" s="65"/>
    </row>
  </sheetData>
  <mergeCells count="61">
    <mergeCell ref="D87:F87"/>
    <mergeCell ref="A89:M90"/>
    <mergeCell ref="H74:H75"/>
    <mergeCell ref="G74:G75"/>
    <mergeCell ref="I27:J27"/>
    <mergeCell ref="K27:L27"/>
    <mergeCell ref="M74:M75"/>
    <mergeCell ref="H100:L100"/>
    <mergeCell ref="D99:J99"/>
    <mergeCell ref="A94:M94"/>
    <mergeCell ref="A95:M95"/>
    <mergeCell ref="A96:M96"/>
    <mergeCell ref="A97:M97"/>
    <mergeCell ref="A2:B2"/>
    <mergeCell ref="I2:M2"/>
    <mergeCell ref="B27:C27"/>
    <mergeCell ref="I74:J74"/>
    <mergeCell ref="D26:K26"/>
    <mergeCell ref="F6:G6"/>
    <mergeCell ref="F7:G7"/>
    <mergeCell ref="F8:G8"/>
    <mergeCell ref="E4:F4"/>
    <mergeCell ref="D74:D75"/>
    <mergeCell ref="B74:C74"/>
    <mergeCell ref="A74:A75"/>
    <mergeCell ref="D27:D28"/>
    <mergeCell ref="D73:K73"/>
    <mergeCell ref="E74:F74"/>
    <mergeCell ref="A5:B5"/>
    <mergeCell ref="E1:H1"/>
    <mergeCell ref="E3:F3"/>
    <mergeCell ref="M27:M28"/>
    <mergeCell ref="J1:M1"/>
    <mergeCell ref="F10:G10"/>
    <mergeCell ref="F11:G11"/>
    <mergeCell ref="F12:G12"/>
    <mergeCell ref="A22:M22"/>
    <mergeCell ref="A23:M23"/>
    <mergeCell ref="A24:M24"/>
    <mergeCell ref="A3:B3"/>
    <mergeCell ref="A4:B4"/>
    <mergeCell ref="A27:A28"/>
    <mergeCell ref="G27:G28"/>
    <mergeCell ref="E27:F27"/>
    <mergeCell ref="H27:H28"/>
    <mergeCell ref="A91:M92"/>
    <mergeCell ref="A93:M93"/>
    <mergeCell ref="I6:L6"/>
    <mergeCell ref="I7:L7"/>
    <mergeCell ref="I8:L8"/>
    <mergeCell ref="C6:D6"/>
    <mergeCell ref="C7:D7"/>
    <mergeCell ref="C8:D8"/>
    <mergeCell ref="C12:D12"/>
    <mergeCell ref="D14:J14"/>
    <mergeCell ref="C10:D10"/>
    <mergeCell ref="C9:D9"/>
    <mergeCell ref="C11:D11"/>
    <mergeCell ref="F9:G9"/>
    <mergeCell ref="K74:L74"/>
    <mergeCell ref="D58:K58"/>
  </mergeCells>
  <conditionalFormatting sqref="B29:M72">
    <cfRule type="expression" dxfId="4" priority="11">
      <formula>AND($K29&gt;0,$K29=$L29,$G29="TOQUE PITO")</formula>
    </cfRule>
    <cfRule type="expression" dxfId="3" priority="12">
      <formula>SEARCH("Cruce",$D29)</formula>
    </cfRule>
    <cfRule type="expression" dxfId="2" priority="13">
      <formula>AND($K29&gt;0,$K29=$L29)</formula>
    </cfRule>
  </conditionalFormatting>
  <conditionalFormatting sqref="H29:H72">
    <cfRule type="expression" dxfId="1" priority="10">
      <formula>AND($K29&gt;0,$K29=$L29,$G29="TOQUE PITO")</formula>
    </cfRule>
  </conditionalFormatting>
  <conditionalFormatting sqref="H29:H87">
    <cfRule type="containsText" dxfId="0" priority="14" operator="containsText" text="VENTANA DE TRABAJO BAJO COORDINACIÓN CON CONTROLADOR DE TRÁFICO">
      <formula>NOT(ISERROR(SEARCH("VENTANA DE TRABAJO BAJO COORDINACIÓN CON CONTROLADOR DE TRÁFICO",H29)))</formula>
    </cfRule>
  </conditionalFormatting>
  <hyperlinks>
    <hyperlink ref="H8" r:id="rId1" xr:uid="{E03296C1-5ABB-4B52-A5F8-F4E53ADD14E5}"/>
    <hyperlink ref="I8" r:id="rId2" xr:uid="{E2F1DDA8-BCA5-4088-AF06-0985AACBB509}"/>
    <hyperlink ref="F11" r:id="rId3" display="ct.con@efesur.cl" xr:uid="{A1C4B2D7-92C7-4712-A28C-1F149385B678}"/>
    <hyperlink ref="C12" r:id="rId4" xr:uid="{2025E338-123C-436A-BC82-CCA9BFC994A2}"/>
    <hyperlink ref="F12" r:id="rId5" xr:uid="{FFEF4604-6A4E-4754-872B-84F306161419}"/>
  </hyperlinks>
  <pageMargins left="0.31496062992125984" right="0.31496062992125984" top="0.35433070866141736" bottom="0.35433070866141736" header="0.31496062992125984" footer="0.31496062992125984"/>
  <pageSetup paperSize="281" scale="72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82F9A49816E4BB01C68A445F45E9E" ma:contentTypeVersion="12" ma:contentTypeDescription="Crear nuevo documento." ma:contentTypeScope="" ma:versionID="4d578b9c7c3b00852d9c044d8d9956a4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92db37c773123e2ab5149400cca1b3b1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8A5A4F-7F90-4006-B887-CFAEA20C55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2591B6-8C80-41FE-AFE6-A9A4EC0BE937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313609a6-81c6-46ac-ab9d-5ac73f4e1ccd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f45291bc-c7a1-4ef0-8ab4-c48bff5dc73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2026-09-17T02:45:23Z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